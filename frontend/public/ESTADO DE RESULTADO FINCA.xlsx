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adrianaagudelo/Desktop/"/>
    </mc:Choice>
  </mc:AlternateContent>
  <xr:revisionPtr revIDLastSave="0" documentId="13_ncr:1_{0C11DE59-994F-804A-BAE6-23EF77CF9FC4}" xr6:coauthVersionLast="47" xr6:coauthVersionMax="47" xr10:uidLastSave="{00000000-0000-0000-0000-000000000000}"/>
  <bookViews>
    <workbookView xWindow="0" yWindow="680" windowWidth="34200" windowHeight="19660" activeTab="1" xr2:uid="{00000000-000D-0000-FFFF-FFFF00000000}"/>
  </bookViews>
  <sheets>
    <sheet name="Cronograma" sheetId="9" r:id="rId1"/>
    <sheet name="ESTADO DE RESULTADO" sheetId="7" r:id="rId2"/>
    <sheet name="Ingresos_Egresos 2026" sheetId="11" r:id="rId3"/>
    <sheet name="Ingresos_Egresos 2025" sheetId="10" r:id="rId4"/>
    <sheet name="Ingresos _ Egresos 2024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3" i="7" l="1"/>
  <c r="C78" i="7" l="1"/>
  <c r="C62" i="7"/>
  <c r="C74" i="7"/>
  <c r="E15" i="11"/>
  <c r="E32" i="11" s="1"/>
  <c r="C59" i="7" s="1"/>
  <c r="C60" i="7"/>
  <c r="C67" i="7"/>
  <c r="C76" i="7"/>
  <c r="C68" i="7"/>
  <c r="K7" i="11"/>
  <c r="O77" i="7"/>
  <c r="O76" i="7"/>
  <c r="O75" i="7"/>
  <c r="O73" i="7"/>
  <c r="O72" i="7"/>
  <c r="O71" i="7"/>
  <c r="O70" i="7"/>
  <c r="O69" i="7"/>
  <c r="O68" i="7"/>
  <c r="O67" i="7"/>
  <c r="O66" i="7"/>
  <c r="O65" i="7"/>
  <c r="O64" i="7"/>
  <c r="O62" i="7"/>
  <c r="N79" i="7"/>
  <c r="I79" i="7"/>
  <c r="H79" i="7"/>
  <c r="G79" i="7"/>
  <c r="F79" i="7"/>
  <c r="E79" i="7"/>
  <c r="E202" i="10"/>
  <c r="E148" i="10"/>
  <c r="E112" i="10"/>
  <c r="O34" i="7"/>
  <c r="O37" i="7"/>
  <c r="O38" i="7"/>
  <c r="O43" i="7"/>
  <c r="N46" i="7"/>
  <c r="N44" i="7"/>
  <c r="K162" i="10"/>
  <c r="K200" i="10"/>
  <c r="N31" i="7"/>
  <c r="N42" i="7"/>
  <c r="M46" i="7"/>
  <c r="M39" i="7"/>
  <c r="M31" i="7"/>
  <c r="M44" i="7"/>
  <c r="K178" i="10"/>
  <c r="N27" i="7"/>
  <c r="K181" i="10"/>
  <c r="M30" i="7"/>
  <c r="K176" i="10"/>
  <c r="K139" i="10"/>
  <c r="M41" i="7"/>
  <c r="L46" i="7"/>
  <c r="E183" i="10"/>
  <c r="M27" i="7" s="1"/>
  <c r="E162" i="10"/>
  <c r="L27" i="7" s="1"/>
  <c r="L31" i="7"/>
  <c r="K169" i="10"/>
  <c r="K31" i="7"/>
  <c r="K46" i="7"/>
  <c r="K42" i="7"/>
  <c r="K30" i="7"/>
  <c r="K141" i="10"/>
  <c r="K137" i="10"/>
  <c r="K133" i="10"/>
  <c r="D79" i="7" l="1"/>
  <c r="K32" i="11"/>
  <c r="C61" i="7" s="1"/>
  <c r="O61" i="7" s="1"/>
  <c r="O44" i="7"/>
  <c r="M79" i="7"/>
  <c r="O74" i="7"/>
  <c r="O78" i="7"/>
  <c r="J79" i="7"/>
  <c r="K79" i="7"/>
  <c r="O63" i="7"/>
  <c r="L79" i="7"/>
  <c r="O59" i="7"/>
  <c r="K202" i="10"/>
  <c r="N29" i="7" s="1"/>
  <c r="N47" i="7" s="1"/>
  <c r="K183" i="10"/>
  <c r="M29" i="7" s="1"/>
  <c r="M47" i="7" s="1"/>
  <c r="L29" i="7"/>
  <c r="L47" i="7" s="1"/>
  <c r="M151" i="10"/>
  <c r="K131" i="10"/>
  <c r="K148" i="10" s="1"/>
  <c r="K27" i="7"/>
  <c r="E128" i="10"/>
  <c r="J46" i="7"/>
  <c r="J31" i="7"/>
  <c r="K118" i="10"/>
  <c r="K128" i="10" s="1"/>
  <c r="I42" i="7"/>
  <c r="M21" i="7"/>
  <c r="I46" i="7"/>
  <c r="G46" i="7"/>
  <c r="I31" i="7"/>
  <c r="C79" i="7" l="1"/>
  <c r="M3" i="11"/>
  <c r="M186" i="10"/>
  <c r="N162" i="10"/>
  <c r="M168" i="10"/>
  <c r="N202" i="10"/>
  <c r="K29" i="7"/>
  <c r="K47" i="7" s="1"/>
  <c r="J27" i="7"/>
  <c r="I30" i="7"/>
  <c r="O30" i="7" s="1"/>
  <c r="K105" i="10"/>
  <c r="H46" i="7"/>
  <c r="I41" i="7"/>
  <c r="H32" i="7"/>
  <c r="O32" i="7" s="1"/>
  <c r="H31" i="7"/>
  <c r="H36" i="7"/>
  <c r="O36" i="7" s="1"/>
  <c r="H42" i="7"/>
  <c r="H35" i="7"/>
  <c r="O35" i="7" s="1"/>
  <c r="H33" i="7"/>
  <c r="O33" i="7" s="1"/>
  <c r="K112" i="10" l="1"/>
  <c r="I29" i="7" s="1"/>
  <c r="M131" i="10"/>
  <c r="N148" i="10" s="1"/>
  <c r="I27" i="7"/>
  <c r="K74" i="10"/>
  <c r="K72" i="10"/>
  <c r="G31" i="7"/>
  <c r="E89" i="10"/>
  <c r="H27" i="7" s="1"/>
  <c r="E69" i="10"/>
  <c r="G27" i="7" s="1"/>
  <c r="G42" i="7"/>
  <c r="K64" i="10"/>
  <c r="K69" i="10" s="1"/>
  <c r="G29" i="7" s="1"/>
  <c r="F31" i="7"/>
  <c r="F46" i="7"/>
  <c r="D46" i="7"/>
  <c r="F42" i="7"/>
  <c r="E39" i="10"/>
  <c r="E27" i="7" s="1"/>
  <c r="K39" i="10"/>
  <c r="E29" i="7" s="1"/>
  <c r="K45" i="10"/>
  <c r="F39" i="7" s="1"/>
  <c r="O39" i="7" s="1"/>
  <c r="C31" i="7"/>
  <c r="D31" i="7"/>
  <c r="E31" i="7"/>
  <c r="D40" i="7"/>
  <c r="O40" i="7" s="1"/>
  <c r="C41" i="7"/>
  <c r="O41" i="7" s="1"/>
  <c r="D42" i="7"/>
  <c r="E45" i="7"/>
  <c r="O45" i="7" s="1"/>
  <c r="C46" i="7"/>
  <c r="E46" i="7"/>
  <c r="E10" i="10"/>
  <c r="C27" i="7" s="1"/>
  <c r="E10" i="8"/>
  <c r="K3" i="7" s="1"/>
  <c r="K3" i="8"/>
  <c r="K10" i="8" s="1"/>
  <c r="K5" i="7" s="1"/>
  <c r="E26" i="8"/>
  <c r="L3" i="7"/>
  <c r="K18" i="8"/>
  <c r="K26" i="8"/>
  <c r="M13" i="8" s="1"/>
  <c r="L5" i="7"/>
  <c r="E41" i="8"/>
  <c r="M29" i="8" s="1"/>
  <c r="K41" i="8"/>
  <c r="M5" i="7" s="1"/>
  <c r="E55" i="8"/>
  <c r="M44" i="8" s="1"/>
  <c r="K55" i="8"/>
  <c r="N5" i="7"/>
  <c r="K6" i="10"/>
  <c r="K10" i="10" s="1"/>
  <c r="E23" i="10"/>
  <c r="D27" i="7" s="1"/>
  <c r="K13" i="10"/>
  <c r="K23" i="10" s="1"/>
  <c r="D29" i="7" s="1"/>
  <c r="E56" i="10"/>
  <c r="F27" i="7" s="1"/>
  <c r="L8" i="7"/>
  <c r="O8" i="7" s="1"/>
  <c r="N21" i="7"/>
  <c r="N7" i="7"/>
  <c r="K21" i="7"/>
  <c r="L21" i="7"/>
  <c r="K7" i="7"/>
  <c r="L7" i="7"/>
  <c r="M7" i="7"/>
  <c r="O19" i="7"/>
  <c r="O20" i="7"/>
  <c r="O12" i="7"/>
  <c r="O13" i="7"/>
  <c r="O15" i="7"/>
  <c r="L18" i="7"/>
  <c r="O18" i="7" s="1"/>
  <c r="L6" i="7"/>
  <c r="O6" i="7" s="1"/>
  <c r="K10" i="7"/>
  <c r="O10" i="7" s="1"/>
  <c r="O4" i="7"/>
  <c r="O9" i="7"/>
  <c r="O11" i="7"/>
  <c r="O14" i="7"/>
  <c r="O16" i="7"/>
  <c r="O17" i="7"/>
  <c r="O31" i="7" l="1"/>
  <c r="O46" i="7"/>
  <c r="O42" i="7"/>
  <c r="C29" i="7"/>
  <c r="I47" i="7"/>
  <c r="O27" i="7"/>
  <c r="N183" i="10"/>
  <c r="N3" i="7"/>
  <c r="N22" i="7" s="1"/>
  <c r="N55" i="8" s="1"/>
  <c r="M2" i="8"/>
  <c r="M92" i="10"/>
  <c r="K89" i="10"/>
  <c r="H29" i="7" s="1"/>
  <c r="L22" i="7"/>
  <c r="N26" i="8" s="1"/>
  <c r="O7" i="7"/>
  <c r="E47" i="7"/>
  <c r="D47" i="7"/>
  <c r="G47" i="7"/>
  <c r="O21" i="7"/>
  <c r="M58" i="10"/>
  <c r="K56" i="10"/>
  <c r="F29" i="7" s="1"/>
  <c r="F47" i="7" s="1"/>
  <c r="M26" i="10"/>
  <c r="M13" i="10"/>
  <c r="M2" i="10"/>
  <c r="O5" i="7"/>
  <c r="K22" i="7"/>
  <c r="M3" i="7"/>
  <c r="M22" i="7" s="1"/>
  <c r="N41" i="8" s="1"/>
  <c r="N112" i="10" l="1"/>
  <c r="N69" i="10"/>
  <c r="H47" i="7"/>
  <c r="N39" i="10"/>
  <c r="M72" i="10"/>
  <c r="M42" i="10"/>
  <c r="N56" i="10" s="1"/>
  <c r="O3" i="7"/>
  <c r="O22" i="7"/>
  <c r="C28" i="7" s="1"/>
  <c r="O28" i="7" s="1"/>
  <c r="N23" i="10"/>
  <c r="N10" i="8"/>
  <c r="C47" i="7" l="1"/>
  <c r="N89" i="10"/>
  <c r="N10" i="10" l="1"/>
  <c r="M114" i="10" l="1"/>
  <c r="J29" i="7"/>
  <c r="J47" i="7" s="1"/>
  <c r="O47" i="7" s="1"/>
  <c r="N32" i="11" l="1"/>
  <c r="O79" i="7"/>
  <c r="O60" i="7"/>
  <c r="N128" i="10"/>
  <c r="O29" i="7"/>
</calcChain>
</file>

<file path=xl/sharedStrings.xml><?xml version="1.0" encoding="utf-8"?>
<sst xmlns="http://schemas.openxmlformats.org/spreadsheetml/2006/main" count="894" uniqueCount="419">
  <si>
    <t>Código cuenta contable</t>
  </si>
  <si>
    <t>Nombre cuenta contable</t>
  </si>
  <si>
    <t>Internet</t>
  </si>
  <si>
    <t>Gastos bancarios</t>
  </si>
  <si>
    <t>Utilidad(+)/Pérdida del ejercicio(-)</t>
  </si>
  <si>
    <t>ENERO</t>
  </si>
  <si>
    <t>ACUMULADO</t>
  </si>
  <si>
    <t>SEPTIEMBRE</t>
  </si>
  <si>
    <t>OCTUBRE</t>
  </si>
  <si>
    <t>NOVIEMBRE</t>
  </si>
  <si>
    <t>DICIEMBRE</t>
  </si>
  <si>
    <t>FECHA</t>
  </si>
  <si>
    <t>ABONO</t>
  </si>
  <si>
    <t>SALDO</t>
  </si>
  <si>
    <t>TOTAL INGRESO</t>
  </si>
  <si>
    <t>CONCEPTO</t>
  </si>
  <si>
    <t>Alquiler Marbel 5-11Oct</t>
  </si>
  <si>
    <t>Egresos</t>
  </si>
  <si>
    <t>Energía</t>
  </si>
  <si>
    <t>Nómina Jairo</t>
  </si>
  <si>
    <t>Nómina Omaira</t>
  </si>
  <si>
    <t>LUNES</t>
  </si>
  <si>
    <t>MARTES</t>
  </si>
  <si>
    <t>MIÉRCOLES</t>
  </si>
  <si>
    <t>JUEVES</t>
  </si>
  <si>
    <t>VIERNES</t>
  </si>
  <si>
    <t>SÁBADO</t>
  </si>
  <si>
    <t>DOMINGO</t>
  </si>
  <si>
    <t>Marbel</t>
  </si>
  <si>
    <t>Margarita Arellano</t>
  </si>
  <si>
    <t>Agua</t>
  </si>
  <si>
    <t>Claudia Cifuentes</t>
  </si>
  <si>
    <t>INGRESOS</t>
  </si>
  <si>
    <t>EGRESOS</t>
  </si>
  <si>
    <t>TOTAL EGRESOS</t>
  </si>
  <si>
    <t>Comida Sasha</t>
  </si>
  <si>
    <t>Viviana Martínez</t>
  </si>
  <si>
    <t>Alquiler Viviana 14-15 Sep</t>
  </si>
  <si>
    <t>Alquiler Viviana 14-15 Sep déposito</t>
  </si>
  <si>
    <t>Ingresos por alquileres</t>
  </si>
  <si>
    <t>Comisión Viviana 14-15 Sep</t>
  </si>
  <si>
    <t>Internet Julio - Agosto</t>
  </si>
  <si>
    <t>Predial 2024</t>
  </si>
  <si>
    <t>Quimicos Piscina</t>
  </si>
  <si>
    <t>Productos aseo</t>
  </si>
  <si>
    <t>Diego Quintero</t>
  </si>
  <si>
    <t>Internet Septiembre</t>
  </si>
  <si>
    <t>Alquiler Erly Aragon 21-22 Sep déposito</t>
  </si>
  <si>
    <t>VALOR</t>
  </si>
  <si>
    <t>Segunda quincena septiembre Jairo</t>
  </si>
  <si>
    <t>Primera quincena septiembre Jairo</t>
  </si>
  <si>
    <t>Mateo Vásquez</t>
  </si>
  <si>
    <t>Pago septiembre Omaira López</t>
  </si>
  <si>
    <t>Alquiler Marbel 5-11Oct saldo</t>
  </si>
  <si>
    <t>Alquiler Marbel 5-11Oct depósito</t>
  </si>
  <si>
    <t>Comisión Marbel 5-11Oct depósito</t>
  </si>
  <si>
    <t>Quimicos piscina</t>
  </si>
  <si>
    <t>Julián Laguna</t>
  </si>
  <si>
    <t>Evelyn Airbnb</t>
  </si>
  <si>
    <t>UTILIDAD</t>
  </si>
  <si>
    <t>Materiales para guadañar</t>
  </si>
  <si>
    <t>Alquiler Mateo Vasquez 19 - 20 Oct</t>
  </si>
  <si>
    <t>Alquiler Mateo Vasquez 19 - 20 Oct depósito</t>
  </si>
  <si>
    <t xml:space="preserve">Alquiler Mateo Vasquez 19 - 20 Oct </t>
  </si>
  <si>
    <t>Primera quincena octubre Jairo</t>
  </si>
  <si>
    <t>Comisión Mateo Vasquez 19 - 20 Oct</t>
  </si>
  <si>
    <t>Alquiler Julián Laguna 26-27  Oct</t>
  </si>
  <si>
    <t>Internet octubre</t>
  </si>
  <si>
    <t>Arreglo uniones agua</t>
  </si>
  <si>
    <t>Adelanto Rito arreglo malla</t>
  </si>
  <si>
    <t>Mantenimientos generales</t>
  </si>
  <si>
    <t>Alquiler Valentina Tafur 14-15 Dic</t>
  </si>
  <si>
    <t>Valentina Tafur</t>
  </si>
  <si>
    <t>Andrés Felipe Quejada</t>
  </si>
  <si>
    <t>Alquiler Andrés Quejada 2-4 Nov</t>
  </si>
  <si>
    <t>Alquiler Mateo Vasquez 19-20 Oct depósito</t>
  </si>
  <si>
    <t>Comisión Andrés Quejada y Valentina Tafur</t>
  </si>
  <si>
    <t>Comida perros</t>
  </si>
  <si>
    <t>FEBRERO</t>
  </si>
  <si>
    <t>MARZO</t>
  </si>
  <si>
    <t>ABRIL</t>
  </si>
  <si>
    <t>Segunda quincena octubre Jairo</t>
  </si>
  <si>
    <t>Pago octubre Omaira López</t>
  </si>
  <si>
    <t>Saldo Rito arreglo malla</t>
  </si>
  <si>
    <t>Alquiler Andrés Quejada 2-4 Nov depósito</t>
  </si>
  <si>
    <t>Airbnb Evelyn 10 - 11 nov</t>
  </si>
  <si>
    <t>Marly Andrea Díaz</t>
  </si>
  <si>
    <t>Alquiler  Marly Andrea 11-12 ene</t>
  </si>
  <si>
    <t>Primera quincena noviembre Jairo</t>
  </si>
  <si>
    <t>Alquiler Francia Navia 24-26 Dic</t>
  </si>
  <si>
    <t>Paola Osorio Airbnb</t>
  </si>
  <si>
    <t>Catherine Tabares Airbnb</t>
  </si>
  <si>
    <t>Johan David Ospina Airbnb</t>
  </si>
  <si>
    <t>Jhon Posada Airbnb</t>
  </si>
  <si>
    <t>Materiales para guadañar y PH</t>
  </si>
  <si>
    <t>Morales</t>
  </si>
  <si>
    <t>Internet noviembre</t>
  </si>
  <si>
    <t>Paola Osorio Airbnb 22 - 23 nov</t>
  </si>
  <si>
    <t>Alquiler Angela Sierra 15-16 feb</t>
  </si>
  <si>
    <t>Angela Sierra</t>
  </si>
  <si>
    <t>Pipetas de gas 100 y 40</t>
  </si>
  <si>
    <t>Gas</t>
  </si>
  <si>
    <t>Avalúo</t>
  </si>
  <si>
    <t>Avalúo Abono 50%</t>
  </si>
  <si>
    <t>Certificado de tradición</t>
  </si>
  <si>
    <t>Documentos</t>
  </si>
  <si>
    <t>Valentina Tabares Airbnb</t>
  </si>
  <si>
    <t>Segundo quincena noviembre Jairo</t>
  </si>
  <si>
    <t>Pago noviembre Omaira López</t>
  </si>
  <si>
    <t>Avalúo Saldo 50%</t>
  </si>
  <si>
    <t>Alquiler Diego Quintero 31 - 2 enero</t>
  </si>
  <si>
    <t>Airbnb Johan David Ospina 7 - 8 dic</t>
  </si>
  <si>
    <t>Alquiler Valentina Tafur 14-15 Dic deposito</t>
  </si>
  <si>
    <t>Primera quincena diciembre Jairo</t>
  </si>
  <si>
    <t>Pasadía MLT</t>
  </si>
  <si>
    <t>Pasadía Colegio</t>
  </si>
  <si>
    <t>Alejandra Linares / Erly Aragon</t>
  </si>
  <si>
    <t>Internet diciembre</t>
  </si>
  <si>
    <t>COR Alejandra Agudelo</t>
  </si>
  <si>
    <t xml:space="preserve"> COR Paola</t>
  </si>
  <si>
    <t>Alquiler Pasadía Museo La Tertulia</t>
  </si>
  <si>
    <t>Reparación Guadaña</t>
  </si>
  <si>
    <t>Comisión 26-30 dic Aribnb Jhon Posada</t>
  </si>
  <si>
    <t>Airbnb Jhon Posada 26 - 30 dic</t>
  </si>
  <si>
    <t>Liquidación de prestaciones sociales Jairo</t>
  </si>
  <si>
    <t xml:space="preserve">Segunda quincena diciembre Jairo </t>
  </si>
  <si>
    <t>Pago diciembre Omaira López</t>
  </si>
  <si>
    <t>Estado de resultado integral 2024</t>
  </si>
  <si>
    <t>Estado de resultado integral 2025</t>
  </si>
  <si>
    <t>Comisión Alquiler  Marly Andrea 11-12 ene</t>
  </si>
  <si>
    <t>Alquiler  Marly Andrea 11-12 ene depósito</t>
  </si>
  <si>
    <t>Alquiler  Marly Andrea 11-12 ene daño silla</t>
  </si>
  <si>
    <t>Airbnb Catherine Tabares 18 - 19 ene</t>
  </si>
  <si>
    <t>Primera quincena enero Jairo</t>
  </si>
  <si>
    <t>Maria Camila Airbnb</t>
  </si>
  <si>
    <t>Reintegro materiales para guadañar</t>
  </si>
  <si>
    <t>Hernando Díaz Airbnb</t>
  </si>
  <si>
    <t>Airbnb Hernando Diaz 25 - 26 ene</t>
  </si>
  <si>
    <t>Utilidad acumulada del periodo anterior</t>
  </si>
  <si>
    <t>Segunda quincena enero Jairo</t>
  </si>
  <si>
    <t>Predial 2025</t>
  </si>
  <si>
    <t>Maria Isabel</t>
  </si>
  <si>
    <t>Adriana</t>
  </si>
  <si>
    <t>Airbnb</t>
  </si>
  <si>
    <t>Cortesías</t>
  </si>
  <si>
    <t>Julián Betancourth</t>
  </si>
  <si>
    <t>Pago enero Omaira López</t>
  </si>
  <si>
    <t>Alquiler Juián Betancourth 1- 2 feb</t>
  </si>
  <si>
    <t>Alquiler Juián Betancourth 1- 2 feb deposito</t>
  </si>
  <si>
    <t>Alquiler Juián Betancourth 1- 2 feb comisión</t>
  </si>
  <si>
    <t>Stephanie Gasca Airbnb</t>
  </si>
  <si>
    <t>Stephanie Airbnb</t>
  </si>
  <si>
    <t>Airbnb Valentina Tabares 8-9 feb</t>
  </si>
  <si>
    <t>Primera quincena febrero Jairo</t>
  </si>
  <si>
    <t>Paola Laguna</t>
  </si>
  <si>
    <t>Alquiler Paola Laguna 1-2 mar</t>
  </si>
  <si>
    <t>Internet febrero</t>
  </si>
  <si>
    <t>Airbnb Maria Camila 22-23 feb</t>
  </si>
  <si>
    <t>Adolfo Bermudez</t>
  </si>
  <si>
    <t>MAYO</t>
  </si>
  <si>
    <t>Jhon Zabala Airbnb</t>
  </si>
  <si>
    <t>Segunda quincena febrero Jairo</t>
  </si>
  <si>
    <t>Pago febrero Omaira López</t>
  </si>
  <si>
    <t>Alquiler Hebert Adolfo Bermudez 15-16 mar</t>
  </si>
  <si>
    <t>Materiales arreglo pisicina</t>
  </si>
  <si>
    <t>Mano de obra mantenimiento pisicina</t>
  </si>
  <si>
    <t>Boleta fiscal levantamiento usufructo</t>
  </si>
  <si>
    <t>Gastos notariales levantamiento usufructo</t>
  </si>
  <si>
    <t>Cancelación en superintendencia de notariado</t>
  </si>
  <si>
    <t>Gastos de escritura nueva</t>
  </si>
  <si>
    <t>Alquiler Hebert Adolfo Bermudez 15-16 mar comisión</t>
  </si>
  <si>
    <t>Acto de cancelación de omisión</t>
  </si>
  <si>
    <t>internet marzo</t>
  </si>
  <si>
    <t>Stephanie Gasca Airbnb 22-24 mar</t>
  </si>
  <si>
    <t>Primera quincena marzo Jairo</t>
  </si>
  <si>
    <t>Segunda quincena marzo Jairo</t>
  </si>
  <si>
    <t>Pago marzo Omaira López</t>
  </si>
  <si>
    <t>Camilo Lucero Airbnb</t>
  </si>
  <si>
    <t>Camilo Lucero Airbnb 29-30 mar</t>
  </si>
  <si>
    <t>Pipeta de gas de la cocina</t>
  </si>
  <si>
    <t>Booking</t>
  </si>
  <si>
    <t>Jhon Zabala Airbnb  17 - 21 abtil</t>
  </si>
  <si>
    <t>Compra de toallas</t>
  </si>
  <si>
    <t>Compra de aceite para guadañar</t>
  </si>
  <si>
    <t>Compra de gasolina para guadañar</t>
  </si>
  <si>
    <t>Transporte compras</t>
  </si>
  <si>
    <t>Primera quincena abril Jairo</t>
  </si>
  <si>
    <t>Compra de guadaña</t>
  </si>
  <si>
    <t>Ropa de cama</t>
  </si>
  <si>
    <t>Alquiler Jaime Soto 21 al 27 de Abr</t>
  </si>
  <si>
    <t>Alquiler Jaime Soto 21 al 27 de Abr déposito</t>
  </si>
  <si>
    <t>JUNIO</t>
  </si>
  <si>
    <t>Jaime Soto</t>
  </si>
  <si>
    <t>Aseo adicional</t>
  </si>
  <si>
    <t>Erika Airbnb</t>
  </si>
  <si>
    <t>Mayerlin Airbnb</t>
  </si>
  <si>
    <t>Natalia Acevedo</t>
  </si>
  <si>
    <t>Erika Airbnb  30 abr - 1 may</t>
  </si>
  <si>
    <t>Pipeta de gas piscina</t>
  </si>
  <si>
    <t>Internet abril</t>
  </si>
  <si>
    <t>Pago Omaira mes de abril</t>
  </si>
  <si>
    <t>Segundo quincena abril Jairo</t>
  </si>
  <si>
    <t>Materiales pisicina</t>
  </si>
  <si>
    <t>JULIO</t>
  </si>
  <si>
    <t>AGOSTO</t>
  </si>
  <si>
    <t>Jose Rey Airbnb</t>
  </si>
  <si>
    <t>Mayerlin Airbnb 3 - 4 may</t>
  </si>
  <si>
    <t>Adriana Herrera Booking</t>
  </si>
  <si>
    <t>Alejandra Rivera Booking</t>
  </si>
  <si>
    <t>Richard Airbnb</t>
  </si>
  <si>
    <t>Richard Airbnb 10-11 may</t>
  </si>
  <si>
    <t>Santiago Benavides Airbnb</t>
  </si>
  <si>
    <t>Santiago Benavides Airbnb 16-19 may</t>
  </si>
  <si>
    <t>Primera quincena mayo Jairo</t>
  </si>
  <si>
    <t>Gasolina para guadañar</t>
  </si>
  <si>
    <t>Compra menaje</t>
  </si>
  <si>
    <t>Transporte menaje homecenter</t>
  </si>
  <si>
    <t>Internet mayo</t>
  </si>
  <si>
    <t>Alquiler Maricela 21-23 Jun</t>
  </si>
  <si>
    <t>Maricela</t>
  </si>
  <si>
    <t>Alquiler Natalia Acevedo 24-25 Mayo</t>
  </si>
  <si>
    <t>Aceite y nylon para guadañar</t>
  </si>
  <si>
    <t>Pago Omaira mes de mayo</t>
  </si>
  <si>
    <t>Camilo Airbnb</t>
  </si>
  <si>
    <t xml:space="preserve">Energía </t>
  </si>
  <si>
    <t>Camilo Airbnb 31 may - 1 jun</t>
  </si>
  <si>
    <t>Segunda quncena mayo Jairo</t>
  </si>
  <si>
    <t>Pipeta de gas cocina</t>
  </si>
  <si>
    <t>Alquiler booking Adriana Herrera</t>
  </si>
  <si>
    <t xml:space="preserve">Comisiones </t>
  </si>
  <si>
    <t>Juan David Vidal</t>
  </si>
  <si>
    <t>Alquiler Juan David Vidal 12-15 Jun</t>
  </si>
  <si>
    <t>Pago nómina y prima de junio Jairo</t>
  </si>
  <si>
    <t>Victor Manuel</t>
  </si>
  <si>
    <t>Prima Doña Omaira</t>
  </si>
  <si>
    <t xml:space="preserve">Alquiler Victor Manuel 19-20 Jul </t>
  </si>
  <si>
    <t>Reparación motor Jacuzzi</t>
  </si>
  <si>
    <t>Agua de enero - abril 2025</t>
  </si>
  <si>
    <t>Agua de mayo y junio 2025</t>
  </si>
  <si>
    <t>Alquiler Maricela 21-23 Jun deposito</t>
  </si>
  <si>
    <t>Comisión Alquiler Maricela 21-23 Jun</t>
  </si>
  <si>
    <t>Compra de rejilla para jacuzzi</t>
  </si>
  <si>
    <t>Lorena Airbnb</t>
  </si>
  <si>
    <t>Pipeta gas piscina</t>
  </si>
  <si>
    <t>Pago segunda nomina Junio Jairo</t>
  </si>
  <si>
    <t>Pago nómina junio Omaira</t>
  </si>
  <si>
    <t>Comisión Alquiler Jaime Soto 21 al 27 de Abr</t>
  </si>
  <si>
    <t>Alquiler booking Alejandra Rivera 27 - 30 junio</t>
  </si>
  <si>
    <t>Alquiler Airbnb Lorena 5-6 Julio</t>
  </si>
  <si>
    <t>Comisión Booking mes de Junio</t>
  </si>
  <si>
    <t>Alejandra Agudelo N/A</t>
  </si>
  <si>
    <t>Pago arreglo de la lavadora</t>
  </si>
  <si>
    <t>Mario Airbnb</t>
  </si>
  <si>
    <t>Alquiler Airbnb Mario 12-13 julio</t>
  </si>
  <si>
    <t>Pago primera nomina Julio Jairo</t>
  </si>
  <si>
    <t>Valentina Hidalgo  Airbnb</t>
  </si>
  <si>
    <t>Yubis Saavedra</t>
  </si>
  <si>
    <t>Alquiler Yubis Saavedra 26-27 julio</t>
  </si>
  <si>
    <t>Alquiler Victor Manuel 19-20 Jul deposito</t>
  </si>
  <si>
    <t>Alquiler Victor Manuel 19-20 Jul comisión</t>
  </si>
  <si>
    <t>Anticipo fragua de la pisicina</t>
  </si>
  <si>
    <t>Alquiler de la motobomba</t>
  </si>
  <si>
    <t>Alquiler mangueras llenado pisicina</t>
  </si>
  <si>
    <t>Aseo Omaira con adicional Alejandra</t>
  </si>
  <si>
    <t>Alquiler Yubis Saavedra 26-27 julio deposito</t>
  </si>
  <si>
    <t>Saldo fragua de la pisicina</t>
  </si>
  <si>
    <t>Pago segunda nomina Julio Jairo</t>
  </si>
  <si>
    <t>Alquiler Airbnb Valentina 2-3 Agosto</t>
  </si>
  <si>
    <t>Alquiler Yubis Saavedra 26-27 julio comisión</t>
  </si>
  <si>
    <t>Bolsas de basura + transporte</t>
  </si>
  <si>
    <t>Alquiler Tatiana Gallego 9 - 10 Agosto</t>
  </si>
  <si>
    <t>Tatiana Gallego</t>
  </si>
  <si>
    <t>Alquiler Airbnb Jose Rey 4 - 5 Agosto</t>
  </si>
  <si>
    <t>Alquiler Juan David 7 - 9 Agosto</t>
  </si>
  <si>
    <t>Alquiler Paola Laguna 23 - 34 agosto</t>
  </si>
  <si>
    <t>Jonathan Harf Airbnb</t>
  </si>
  <si>
    <t>Pipeta gas pisicina y pipeta cocina</t>
  </si>
  <si>
    <t>Alquiler Airbnb Jhonatan 16 - 18 Agosto</t>
  </si>
  <si>
    <t>Pago primera nomina Agosto Jairo</t>
  </si>
  <si>
    <t>Daniela Gónzalez</t>
  </si>
  <si>
    <t>Alquiler Daniela Gónzalez 30 - 31 Agosto</t>
  </si>
  <si>
    <t>Maritza Mosquera Airbnb</t>
  </si>
  <si>
    <t>Pago segunda nomina Agosto Jairo</t>
  </si>
  <si>
    <t>Pago nómina agosto Omaira</t>
  </si>
  <si>
    <t>Luz Adriana Gordillo</t>
  </si>
  <si>
    <t>Tatiana Rodríguez</t>
  </si>
  <si>
    <t>Alquiler Daniela Gónzalez 30 - 31 Ago deposito</t>
  </si>
  <si>
    <t>Comisión Alquiler Daniela Gónzalez 30 - 31 Agosto</t>
  </si>
  <si>
    <t>Daniela Quintero</t>
  </si>
  <si>
    <t>Alquiler Daniela Quintero 6-7 sep</t>
  </si>
  <si>
    <t>Alquiler Daniela Quintero 6-7 sept deposito</t>
  </si>
  <si>
    <t>Comisión Alquiler Daniela Quintero 6-7 sep</t>
  </si>
  <si>
    <t>Compra de licuadora y sacacorchos</t>
  </si>
  <si>
    <t>Alberto Trujillo Airbnb</t>
  </si>
  <si>
    <t>Alquiler Tatiana Rodríguez  13 - 14 Sep deposito</t>
  </si>
  <si>
    <t>Alquiler Tatiana Rodríguez  13 - 14 Sept</t>
  </si>
  <si>
    <t>Alquiler Tatiana Rodríguez  13 - 14 Sep</t>
  </si>
  <si>
    <t>Comisión Alquiler Tatiana Rodríguez  13 - 14 Sep</t>
  </si>
  <si>
    <t>Pago primera nomina septiembre Jairo</t>
  </si>
  <si>
    <t>Alquiler Jefferson Avendaño 15 - 17 Nov</t>
  </si>
  <si>
    <t>Jefferson Avendaño</t>
  </si>
  <si>
    <t>Alquiler Airbnb Alberto 20 - 21 Sep</t>
  </si>
  <si>
    <t>No autorizado</t>
  </si>
  <si>
    <t xml:space="preserve">Agua </t>
  </si>
  <si>
    <t>Pago nómina septiembre Omaira</t>
  </si>
  <si>
    <t>Pago segunda nomina septiembre Jairo</t>
  </si>
  <si>
    <t>Carmen Elena Moreno</t>
  </si>
  <si>
    <t>Carmen Elena M</t>
  </si>
  <si>
    <t>Alquiler Carmen Elena Moreno  6 - 8 Dic</t>
  </si>
  <si>
    <t>Quimicos y cepillos nuevos para la piscina</t>
  </si>
  <si>
    <t>Comisión Alquiler Carmen Elena Moreno  6 - 8 Dic</t>
  </si>
  <si>
    <t>Comisión Alquiler Daniela Saa  11 - 13 Oct</t>
  </si>
  <si>
    <t>Alquiler Luz Gordillo  27 - 28 Sep</t>
  </si>
  <si>
    <t>Alquiler Luz Gordillo  27 - 28 Sep deposito</t>
  </si>
  <si>
    <t>Comisión Alquiler Luz Gordillo  27 - 28 Sep</t>
  </si>
  <si>
    <t>Compras de aseo</t>
  </si>
  <si>
    <t>Compras de bombillos, lámparas, tijeras de podar, afiladora machete, etc</t>
  </si>
  <si>
    <t>Pago liquidación Jairo Trochez</t>
  </si>
  <si>
    <t>nylon y aceite para guadañar</t>
  </si>
  <si>
    <t>Transporte jairo para comprar materiales</t>
  </si>
  <si>
    <t>Pipeta gas pisicina</t>
  </si>
  <si>
    <t>Alquiler Angela Sierra 18-19 Octubre</t>
  </si>
  <si>
    <t>Alquiler Oscar Alexander Gomez 11-12 Oct</t>
  </si>
  <si>
    <t>Oscar Gómez</t>
  </si>
  <si>
    <t>Daniela Saa</t>
  </si>
  <si>
    <t>Alquiler Daniela Saa  12 - 13 Oct</t>
  </si>
  <si>
    <t>Alquiler Oscar Alexander Gomez 11-12 Oct depósito</t>
  </si>
  <si>
    <t>Alquiler Angela Sierra 18-19 Octubre deposito</t>
  </si>
  <si>
    <t>Comisión alquiler Angela Sierra 18-19 Octubre</t>
  </si>
  <si>
    <t>Primera quincena de octubre Jairo</t>
  </si>
  <si>
    <t>Yuli Velasquez Airbnb</t>
  </si>
  <si>
    <t>Dayana Cubillos Airbnb</t>
  </si>
  <si>
    <t>Lina Manrique Airbnb</t>
  </si>
  <si>
    <t>Comisión Alquiler Jefferson Avendaño 15 - 17 Nov</t>
  </si>
  <si>
    <t>Segunda quincena de octubre Jairo</t>
  </si>
  <si>
    <t>Pago aseo Omaira</t>
  </si>
  <si>
    <t>Alquiler Airbnb Dayana Cubillos 1- 3 Nov</t>
  </si>
  <si>
    <t>Veneno para ratas y hormigas</t>
  </si>
  <si>
    <t>Seguridad Social Octubre</t>
  </si>
  <si>
    <t>Jairo</t>
  </si>
  <si>
    <t>Productos de aseo</t>
  </si>
  <si>
    <t>Omaira</t>
  </si>
  <si>
    <t>Prima Jairo</t>
  </si>
  <si>
    <t>Prima Omaira</t>
  </si>
  <si>
    <t>Seguridad social noviembre</t>
  </si>
  <si>
    <t>Gastos de transporte para compras de materiales</t>
  </si>
  <si>
    <t>Alquiler Mateo Velásquez 22 - 23 Nov</t>
  </si>
  <si>
    <t>Comisión Alquiler Mateo Velásquez 22 - 23 Nov</t>
  </si>
  <si>
    <t>Mateo Velásquez</t>
  </si>
  <si>
    <t>Primera quincena de noviembre Jairo</t>
  </si>
  <si>
    <t>Martha Villegas Airbnb</t>
  </si>
  <si>
    <t>Alquiler Airbnb Martha Villegas 28-29 Nov</t>
  </si>
  <si>
    <t>Alquiler Airbnb Lina Manrique 20-21 Dic</t>
  </si>
  <si>
    <t>Alquiler Airbnb Jose Aguirre 23-25 Dic</t>
  </si>
  <si>
    <t>Alquiler Airbnb Maritza Mosquera 29 Dic - 2 Ene</t>
  </si>
  <si>
    <t>Pipeta para la cocina</t>
  </si>
  <si>
    <t>Pago Contribución Parafiscal- FONTUR 2024-2025</t>
  </si>
  <si>
    <t>Seguridad Social</t>
  </si>
  <si>
    <t>Trámites e impuestos</t>
  </si>
  <si>
    <t>Pipeta de gas para jacuzzi</t>
  </si>
  <si>
    <t>Compra de lata para ajustar asador</t>
  </si>
  <si>
    <t>Alquiler Carmen Elena Moreno  6 - 8 Dic depósito</t>
  </si>
  <si>
    <t>Energia</t>
  </si>
  <si>
    <t>Alquiler Airbnb Yuli Velasquez  13 - 14 Dic</t>
  </si>
  <si>
    <t>Segunda quincena de noviembre Jairo</t>
  </si>
  <si>
    <t>Primera quincena de diciembre Jairo</t>
  </si>
  <si>
    <t>Jose Aguirre Airbnb / Cancelada</t>
  </si>
  <si>
    <t xml:space="preserve">Arreglo eléctrico a la caja </t>
  </si>
  <si>
    <t>Aseo adicional Omaira</t>
  </si>
  <si>
    <t>Quimicos pisicina</t>
  </si>
  <si>
    <t>Trampa de la bomba de la pisicina</t>
  </si>
  <si>
    <t>Aseo adicional para alquiler del 8 al 9</t>
  </si>
  <si>
    <t>Estado de resultado integral 2026</t>
  </si>
  <si>
    <t>Seguridad social diciembre</t>
  </si>
  <si>
    <t>Nicolay Gil Airbnb</t>
  </si>
  <si>
    <t>Santiago</t>
  </si>
  <si>
    <t>Santiago Benavides</t>
  </si>
  <si>
    <t>Pago Agua septiembre - octubre</t>
  </si>
  <si>
    <t>Pago Agua noviembre - diciembre</t>
  </si>
  <si>
    <t>Alquiler Santiago Benavides 6 al 12 enero</t>
  </si>
  <si>
    <t>Comisión Alquiler Santiago Benavides 6 al 12 enero</t>
  </si>
  <si>
    <t>Compra de cobijas y almohadas</t>
  </si>
  <si>
    <t>Airbnb Alquiler Nicolay Gil 3 - 4 enero</t>
  </si>
  <si>
    <t>Aseo adicional sábado 3 enero</t>
  </si>
  <si>
    <t>Aseo adicional lunes 5 enero</t>
  </si>
  <si>
    <t>Pipeta de gas para Jacuzzi</t>
  </si>
  <si>
    <t>Alquiler Santiago Benavides 6 al 12 enero deposito</t>
  </si>
  <si>
    <t xml:space="preserve">Alquiler Yaneth Rodríguez 24 al 25 enero </t>
  </si>
  <si>
    <t>Pago de Cesantias Jairo y Omaira</t>
  </si>
  <si>
    <t>Arreglo lavadora</t>
  </si>
  <si>
    <t>Andrés Santiago Airbnb</t>
  </si>
  <si>
    <t>Yaneth Rodríguez</t>
  </si>
  <si>
    <t>Jairo Primera quincena</t>
  </si>
  <si>
    <t>Materiales arreglo tuberia rio / Compra guaya</t>
  </si>
  <si>
    <t>Mangueras</t>
  </si>
  <si>
    <t>Alquiler Natalia Acevedo 31 ene al 1 feb</t>
  </si>
  <si>
    <t>Alquiler Luceyda Londoño 7 al 8 Feb</t>
  </si>
  <si>
    <t>Luceyda Londoño</t>
  </si>
  <si>
    <t>Comisión Alquiler alquileres 24 y 31 de enero</t>
  </si>
  <si>
    <t>Pipeta de gas para cocina</t>
  </si>
  <si>
    <t>Airbnb AlquilerAndrés Santiago  17 - 18 enero</t>
  </si>
  <si>
    <t>Seguridad social enero</t>
  </si>
  <si>
    <t>Arreglo eléctrico</t>
  </si>
  <si>
    <t>Alquiler Yaneth Rodríguez 24 al 25 enero deposito</t>
  </si>
  <si>
    <t>Agua enero</t>
  </si>
  <si>
    <t>Pago Contribución Parafiscal- FONTUR 2025</t>
  </si>
  <si>
    <t>Mantenimiento Jacuzzi</t>
  </si>
  <si>
    <t>Jairo Segunda quincena</t>
  </si>
  <si>
    <t>Salario Omaira</t>
  </si>
  <si>
    <t>Alquiler Natalia Acevedo 31 ene al 1 feb deposito</t>
  </si>
  <si>
    <t>Pago de comisión Alquiler Natalia Acevedo 31 ene al 1 feb</t>
  </si>
  <si>
    <t>Predial 2026</t>
  </si>
  <si>
    <t>Compra de cintas antidelizantes</t>
  </si>
  <si>
    <t>Walther Ivan Sanchez Airbnb</t>
  </si>
  <si>
    <t>William Brion</t>
  </si>
  <si>
    <t>Paula Andrea Ríos</t>
  </si>
  <si>
    <t>Andrea Grisales Airbnb</t>
  </si>
  <si>
    <t>Daniela</t>
  </si>
  <si>
    <t>Julián David Muñoz Airbnb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</si>
</sst>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&quot;$&quot;\ #,##0"/>
    <numFmt numFmtId="165" formatCode="&quot;$&quot;\ #,##0.00;[Red]&quot;$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30"/>
      <color theme="1"/>
      <name val="Calibri (Cuerpo)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Lato"/>
    </font>
    <font>
      <b/>
      <sz val="12"/>
      <color theme="1"/>
      <name val="Calibri"/>
      <family val="2"/>
      <scheme val="minor"/>
    </font>
    <font>
      <b/>
      <sz val="14"/>
      <name val="Lato"/>
    </font>
    <font>
      <sz val="8"/>
      <name val="Calibri"/>
      <family val="2"/>
      <scheme val="minor"/>
    </font>
    <font>
      <b/>
      <sz val="11"/>
      <color rgb="FF000000"/>
      <name val="Lato"/>
      <charset val="1"/>
    </font>
    <font>
      <sz val="11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67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05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left"/>
    </xf>
    <xf numFmtId="0" fontId="5" fillId="2" borderId="0" xfId="0" applyFont="1" applyFill="1"/>
    <xf numFmtId="164" fontId="0" fillId="0" borderId="0" xfId="0" applyNumberFormat="1"/>
    <xf numFmtId="0" fontId="8" fillId="7" borderId="1" xfId="0" applyFont="1" applyFill="1" applyBorder="1" applyAlignment="1">
      <alignment horizontal="center"/>
    </xf>
    <xf numFmtId="0" fontId="0" fillId="0" borderId="1" xfId="0" applyBorder="1"/>
    <xf numFmtId="16" fontId="0" fillId="0" borderId="1" xfId="0" applyNumberFormat="1" applyBorder="1"/>
    <xf numFmtId="164" fontId="0" fillId="0" borderId="1" xfId="0" applyNumberForma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" fontId="0" fillId="0" borderId="7" xfId="0" applyNumberFormat="1" applyBorder="1"/>
    <xf numFmtId="164" fontId="0" fillId="0" borderId="8" xfId="0" applyNumberFormat="1" applyBorder="1"/>
    <xf numFmtId="0" fontId="0" fillId="0" borderId="7" xfId="0" applyBorder="1"/>
    <xf numFmtId="0" fontId="0" fillId="0" borderId="9" xfId="0" applyBorder="1"/>
    <xf numFmtId="164" fontId="0" fillId="0" borderId="11" xfId="0" applyNumberFormat="1" applyBorder="1"/>
    <xf numFmtId="164" fontId="5" fillId="0" borderId="10" xfId="0" applyNumberFormat="1" applyFont="1" applyBorder="1"/>
    <xf numFmtId="164" fontId="5" fillId="0" borderId="11" xfId="0" applyNumberFormat="1" applyFont="1" applyBorder="1"/>
    <xf numFmtId="49" fontId="1" fillId="5" borderId="1" xfId="0" applyNumberFormat="1" applyFont="1" applyFill="1" applyBorder="1" applyAlignment="1">
      <alignment horizontal="left" vertical="center"/>
    </xf>
    <xf numFmtId="4" fontId="1" fillId="5" borderId="1" xfId="0" applyNumberFormat="1" applyFont="1" applyFill="1" applyBorder="1" applyAlignment="1">
      <alignment horizontal="right" vertical="center"/>
    </xf>
    <xf numFmtId="49" fontId="1" fillId="6" borderId="1" xfId="0" applyNumberFormat="1" applyFont="1" applyFill="1" applyBorder="1" applyAlignment="1">
      <alignment horizontal="left" vertical="center"/>
    </xf>
    <xf numFmtId="4" fontId="1" fillId="6" borderId="1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16" fontId="0" fillId="0" borderId="16" xfId="0" applyNumberFormat="1" applyBorder="1"/>
    <xf numFmtId="0" fontId="0" fillId="0" borderId="17" xfId="0" applyBorder="1"/>
    <xf numFmtId="164" fontId="0" fillId="0" borderId="17" xfId="0" applyNumberFormat="1" applyBorder="1"/>
    <xf numFmtId="164" fontId="0" fillId="0" borderId="18" xfId="0" applyNumberFormat="1" applyBorder="1"/>
    <xf numFmtId="0" fontId="5" fillId="0" borderId="10" xfId="0" applyFont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164" fontId="0" fillId="2" borderId="8" xfId="0" applyNumberFormat="1" applyFill="1" applyBorder="1"/>
    <xf numFmtId="0" fontId="8" fillId="11" borderId="7" xfId="0" applyFont="1" applyFill="1" applyBorder="1" applyAlignment="1">
      <alignment horizontal="center"/>
    </xf>
    <xf numFmtId="0" fontId="8" fillId="12" borderId="9" xfId="0" applyFont="1" applyFill="1" applyBorder="1" applyAlignment="1">
      <alignment horizontal="center" vertical="center"/>
    </xf>
    <xf numFmtId="0" fontId="0" fillId="0" borderId="28" xfId="0" applyBorder="1"/>
    <xf numFmtId="0" fontId="8" fillId="10" borderId="10" xfId="0" applyFont="1" applyFill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165" fontId="0" fillId="0" borderId="0" xfId="0" applyNumberFormat="1"/>
    <xf numFmtId="165" fontId="0" fillId="2" borderId="8" xfId="0" applyNumberFormat="1" applyFill="1" applyBorder="1"/>
    <xf numFmtId="49" fontId="2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 applyAlignment="1">
      <alignment horizontal="right" vertical="center"/>
    </xf>
    <xf numFmtId="4" fontId="5" fillId="2" borderId="0" xfId="0" applyNumberFormat="1" applyFont="1" applyFill="1"/>
    <xf numFmtId="0" fontId="8" fillId="9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0" fillId="10" borderId="15" xfId="0" applyFill="1" applyBorder="1"/>
    <xf numFmtId="0" fontId="8" fillId="0" borderId="3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8" xfId="0" applyFont="1" applyFill="1" applyBorder="1"/>
    <xf numFmtId="0" fontId="8" fillId="9" borderId="7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5" fillId="14" borderId="0" xfId="0" applyFont="1" applyFill="1" applyAlignment="1">
      <alignment horizontal="center"/>
    </xf>
    <xf numFmtId="0" fontId="5" fillId="7" borderId="12" xfId="0" applyFont="1" applyFill="1" applyBorder="1" applyAlignment="1">
      <alignment horizontal="center"/>
    </xf>
    <xf numFmtId="164" fontId="0" fillId="0" borderId="1" xfId="0" applyNumberFormat="1" applyBorder="1" applyAlignment="1">
      <alignment wrapText="1"/>
    </xf>
    <xf numFmtId="0" fontId="8" fillId="2" borderId="11" xfId="0" applyFont="1" applyFill="1" applyBorder="1" applyAlignment="1">
      <alignment horizontal="center"/>
    </xf>
    <xf numFmtId="0" fontId="8" fillId="7" borderId="21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/>
    </xf>
    <xf numFmtId="16" fontId="0" fillId="2" borderId="16" xfId="0" applyNumberFormat="1" applyFill="1" applyBorder="1"/>
    <xf numFmtId="0" fontId="8" fillId="15" borderId="7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0" fillId="17" borderId="8" xfId="0" applyFill="1" applyBorder="1"/>
    <xf numFmtId="165" fontId="0" fillId="0" borderId="1" xfId="0" applyNumberFormat="1" applyBorder="1"/>
    <xf numFmtId="0" fontId="8" fillId="7" borderId="3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8" fillId="7" borderId="4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22" xfId="0" applyFont="1" applyFill="1" applyBorder="1" applyAlignment="1">
      <alignment horizontal="center"/>
    </xf>
    <xf numFmtId="0" fontId="8" fillId="8" borderId="42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8" xfId="0" applyFont="1" applyFill="1" applyBorder="1"/>
    <xf numFmtId="0" fontId="8" fillId="8" borderId="8" xfId="0" applyFont="1" applyFill="1" applyBorder="1" applyAlignment="1">
      <alignment horizontal="center"/>
    </xf>
    <xf numFmtId="0" fontId="8" fillId="8" borderId="1" xfId="0" applyFont="1" applyFill="1" applyBorder="1"/>
    <xf numFmtId="0" fontId="8" fillId="8" borderId="21" xfId="0" applyFont="1" applyFill="1" applyBorder="1" applyAlignment="1">
      <alignment horizontal="center"/>
    </xf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8" fillId="8" borderId="9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164" fontId="13" fillId="0" borderId="17" xfId="0" applyNumberFormat="1" applyFont="1" applyBorder="1"/>
    <xf numFmtId="0" fontId="1" fillId="4" borderId="1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8" fillId="18" borderId="7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8" fillId="18" borderId="22" xfId="0" applyFont="1" applyFill="1" applyBorder="1" applyAlignment="1">
      <alignment horizontal="center"/>
    </xf>
    <xf numFmtId="0" fontId="8" fillId="18" borderId="4" xfId="0" applyFont="1" applyFill="1" applyBorder="1" applyAlignment="1">
      <alignment horizontal="center"/>
    </xf>
    <xf numFmtId="0" fontId="5" fillId="19" borderId="0" xfId="0" applyFont="1" applyFill="1" applyAlignment="1">
      <alignment horizontal="center"/>
    </xf>
    <xf numFmtId="0" fontId="8" fillId="7" borderId="5" xfId="0" applyFont="1" applyFill="1" applyBorder="1" applyAlignment="1">
      <alignment horizontal="center"/>
    </xf>
    <xf numFmtId="164" fontId="0" fillId="2" borderId="17" xfId="0" applyNumberFormat="1" applyFill="1" applyBorder="1"/>
    <xf numFmtId="164" fontId="0" fillId="2" borderId="18" xfId="0" applyNumberFormat="1" applyFill="1" applyBorder="1"/>
    <xf numFmtId="0" fontId="12" fillId="16" borderId="2" xfId="0" applyFont="1" applyFill="1" applyBorder="1" applyAlignment="1">
      <alignment horizontal="center"/>
    </xf>
    <xf numFmtId="0" fontId="12" fillId="16" borderId="44" xfId="0" applyFont="1" applyFill="1" applyBorder="1" applyAlignment="1">
      <alignment horizontal="center"/>
    </xf>
    <xf numFmtId="10" fontId="0" fillId="0" borderId="0" xfId="0" applyNumberFormat="1"/>
    <xf numFmtId="0" fontId="0" fillId="17" borderId="2" xfId="0" applyFill="1" applyBorder="1"/>
    <xf numFmtId="0" fontId="8" fillId="7" borderId="4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165" fontId="5" fillId="0" borderId="1" xfId="0" applyNumberFormat="1" applyFont="1" applyBorder="1"/>
    <xf numFmtId="0" fontId="8" fillId="10" borderId="26" xfId="0" applyFont="1" applyFill="1" applyBorder="1" applyAlignment="1">
      <alignment horizontal="center"/>
    </xf>
    <xf numFmtId="16" fontId="0" fillId="2" borderId="7" xfId="0" applyNumberFormat="1" applyFill="1" applyBorder="1"/>
    <xf numFmtId="0" fontId="8" fillId="10" borderId="9" xfId="0" applyFont="1" applyFill="1" applyBorder="1" applyAlignment="1">
      <alignment horizontal="center"/>
    </xf>
    <xf numFmtId="0" fontId="8" fillId="17" borderId="10" xfId="0" applyFont="1" applyFill="1" applyBorder="1" applyAlignment="1">
      <alignment horizontal="center"/>
    </xf>
    <xf numFmtId="0" fontId="8" fillId="17" borderId="11" xfId="0" applyFont="1" applyFill="1" applyBorder="1" applyAlignment="1">
      <alignment horizontal="center"/>
    </xf>
    <xf numFmtId="0" fontId="13" fillId="0" borderId="17" xfId="0" applyFont="1" applyBorder="1"/>
    <xf numFmtId="0" fontId="8" fillId="2" borderId="0" xfId="0" applyFont="1" applyFill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8" fillId="8" borderId="23" xfId="0" applyFont="1" applyFill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9" borderId="15" xfId="0" applyFont="1" applyFill="1" applyBorder="1" applyAlignment="1">
      <alignment horizont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8" fillId="11" borderId="40" xfId="0" applyFont="1" applyFill="1" applyBorder="1" applyAlignment="1">
      <alignment horizontal="center"/>
    </xf>
    <xf numFmtId="0" fontId="8" fillId="19" borderId="2" xfId="0" applyFont="1" applyFill="1" applyBorder="1" applyAlignment="1">
      <alignment horizontal="center"/>
    </xf>
    <xf numFmtId="0" fontId="8" fillId="19" borderId="3" xfId="0" applyFont="1" applyFill="1" applyBorder="1" applyAlignment="1">
      <alignment horizontal="center"/>
    </xf>
    <xf numFmtId="0" fontId="8" fillId="11" borderId="26" xfId="0" applyFont="1" applyFill="1" applyBorder="1" applyAlignment="1">
      <alignment horizontal="center"/>
    </xf>
    <xf numFmtId="0" fontId="8" fillId="11" borderId="43" xfId="0" applyFont="1" applyFill="1" applyBorder="1" applyAlignment="1">
      <alignment horizontal="center"/>
    </xf>
    <xf numFmtId="0" fontId="8" fillId="9" borderId="40" xfId="0" applyFont="1" applyFill="1" applyBorder="1" applyAlignment="1">
      <alignment horizontal="center"/>
    </xf>
    <xf numFmtId="0" fontId="8" fillId="11" borderId="15" xfId="0" applyFont="1" applyFill="1" applyBorder="1" applyAlignment="1">
      <alignment horizontal="center"/>
    </xf>
    <xf numFmtId="0" fontId="8" fillId="11" borderId="27" xfId="0" applyFont="1" applyFill="1" applyBorder="1" applyAlignment="1">
      <alignment horizontal="center"/>
    </xf>
    <xf numFmtId="0" fontId="8" fillId="11" borderId="48" xfId="0" applyFont="1" applyFill="1" applyBorder="1" applyAlignment="1">
      <alignment horizontal="center"/>
    </xf>
    <xf numFmtId="0" fontId="8" fillId="8" borderId="45" xfId="0" applyFont="1" applyFill="1" applyBorder="1" applyAlignment="1">
      <alignment horizontal="center"/>
    </xf>
    <xf numFmtId="0" fontId="8" fillId="8" borderId="46" xfId="0" applyFont="1" applyFill="1" applyBorder="1" applyAlignment="1">
      <alignment horizontal="center"/>
    </xf>
    <xf numFmtId="0" fontId="8" fillId="8" borderId="47" xfId="0" applyFont="1" applyFill="1" applyBorder="1" applyAlignment="1">
      <alignment horizontal="center"/>
    </xf>
    <xf numFmtId="0" fontId="12" fillId="16" borderId="2" xfId="0" applyFont="1" applyFill="1" applyBorder="1" applyAlignment="1">
      <alignment horizontal="center"/>
    </xf>
    <xf numFmtId="0" fontId="12" fillId="16" borderId="40" xfId="0" applyFont="1" applyFill="1" applyBorder="1" applyAlignment="1">
      <alignment horizontal="center"/>
    </xf>
    <xf numFmtId="0" fontId="12" fillId="16" borderId="44" xfId="0" applyFont="1" applyFill="1" applyBorder="1" applyAlignment="1">
      <alignment horizontal="center"/>
    </xf>
    <xf numFmtId="0" fontId="8" fillId="19" borderId="15" xfId="0" applyFont="1" applyFill="1" applyBorder="1" applyAlignment="1">
      <alignment horizontal="center"/>
    </xf>
    <xf numFmtId="0" fontId="8" fillId="15" borderId="26" xfId="0" applyFont="1" applyFill="1" applyBorder="1" applyAlignment="1">
      <alignment horizontal="center"/>
    </xf>
    <xf numFmtId="0" fontId="8" fillId="15" borderId="27" xfId="0" applyFont="1" applyFill="1" applyBorder="1" applyAlignment="1">
      <alignment horizontal="center"/>
    </xf>
    <xf numFmtId="0" fontId="8" fillId="15" borderId="43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8" fillId="8" borderId="33" xfId="0" applyFont="1" applyFill="1" applyBorder="1" applyAlignment="1">
      <alignment horizontal="center"/>
    </xf>
    <xf numFmtId="0" fontId="8" fillId="8" borderId="34" xfId="0" applyFont="1" applyFill="1" applyBorder="1" applyAlignment="1">
      <alignment horizontal="center"/>
    </xf>
    <xf numFmtId="0" fontId="8" fillId="8" borderId="35" xfId="0" applyFont="1" applyFill="1" applyBorder="1" applyAlignment="1">
      <alignment horizontal="center"/>
    </xf>
    <xf numFmtId="0" fontId="8" fillId="11" borderId="39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2" borderId="39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0" fontId="8" fillId="8" borderId="30" xfId="0" applyFont="1" applyFill="1" applyBorder="1" applyAlignment="1">
      <alignment horizontal="center"/>
    </xf>
    <xf numFmtId="0" fontId="8" fillId="8" borderId="31" xfId="0" applyFont="1" applyFill="1" applyBorder="1" applyAlignment="1">
      <alignment horizontal="center"/>
    </xf>
    <xf numFmtId="0" fontId="8" fillId="8" borderId="32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8" fillId="15" borderId="4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9" fillId="7" borderId="20" xfId="0" applyNumberFormat="1" applyFont="1" applyFill="1" applyBorder="1" applyAlignment="1">
      <alignment horizontal="center" vertical="center"/>
    </xf>
    <xf numFmtId="164" fontId="9" fillId="7" borderId="13" xfId="0" applyNumberFormat="1" applyFont="1" applyFill="1" applyBorder="1" applyAlignment="1">
      <alignment horizontal="center" vertical="center"/>
    </xf>
    <xf numFmtId="164" fontId="9" fillId="7" borderId="14" xfId="0" applyNumberFormat="1" applyFont="1" applyFill="1" applyBorder="1" applyAlignment="1">
      <alignment horizontal="center" vertical="center"/>
    </xf>
    <xf numFmtId="164" fontId="9" fillId="7" borderId="12" xfId="0" applyNumberFormat="1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</cellXfs>
  <cellStyles count="467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" xfId="181" builtinId="8" hidden="1"/>
    <cellStyle name="Hipervínculo" xfId="183" builtinId="8" hidden="1"/>
    <cellStyle name="Hipervínculo" xfId="185" builtinId="8" hidden="1"/>
    <cellStyle name="Hipervínculo" xfId="187" builtinId="8" hidden="1"/>
    <cellStyle name="Hipervínculo" xfId="189" builtinId="8" hidden="1"/>
    <cellStyle name="Hipervínculo" xfId="191" builtinId="8" hidden="1"/>
    <cellStyle name="Hipervínculo" xfId="193" builtinId="8" hidden="1"/>
    <cellStyle name="Hipervínculo" xfId="195" builtinId="8" hidden="1"/>
    <cellStyle name="Hipervínculo" xfId="197" builtinId="8" hidden="1"/>
    <cellStyle name="Hipervínculo" xfId="199" builtinId="8" hidden="1"/>
    <cellStyle name="Hipervínculo" xfId="201" builtinId="8" hidden="1"/>
    <cellStyle name="Hipervínculo" xfId="203" builtinId="8" hidden="1"/>
    <cellStyle name="Hipervínculo" xfId="205" builtinId="8" hidden="1"/>
    <cellStyle name="Hipervínculo" xfId="207" builtinId="8" hidden="1"/>
    <cellStyle name="Hipervínculo" xfId="209" builtinId="8" hidden="1"/>
    <cellStyle name="Hipervínculo" xfId="211" builtinId="8" hidden="1"/>
    <cellStyle name="Hipervínculo" xfId="213" builtinId="8" hidden="1"/>
    <cellStyle name="Hipervínculo" xfId="215" builtinId="8" hidden="1"/>
    <cellStyle name="Hipervínculo" xfId="217" builtinId="8" hidden="1"/>
    <cellStyle name="Hipervínculo" xfId="219" builtinId="8" hidden="1"/>
    <cellStyle name="Hipervínculo" xfId="221" builtinId="8" hidden="1"/>
    <cellStyle name="Hipervínculo" xfId="223" builtinId="8" hidden="1"/>
    <cellStyle name="Hipervínculo" xfId="225" builtinId="8" hidden="1"/>
    <cellStyle name="Hipervínculo" xfId="227" builtinId="8" hidden="1"/>
    <cellStyle name="Hipervínculo" xfId="229" builtinId="8" hidden="1"/>
    <cellStyle name="Hipervínculo" xfId="231" builtinId="8" hidden="1"/>
    <cellStyle name="Hipervínculo" xfId="233" builtinId="8" hidden="1"/>
    <cellStyle name="Hipervínculo" xfId="235" builtinId="8" hidden="1"/>
    <cellStyle name="Hipervínculo" xfId="237" builtinId="8" hidden="1"/>
    <cellStyle name="Hipervínculo" xfId="239" builtinId="8" hidden="1"/>
    <cellStyle name="Hipervínculo" xfId="241" builtinId="8" hidden="1"/>
    <cellStyle name="Hipervínculo" xfId="243" builtinId="8" hidden="1"/>
    <cellStyle name="Hipervínculo" xfId="245" builtinId="8" hidden="1"/>
    <cellStyle name="Hipervínculo" xfId="247" builtinId="8" hidden="1"/>
    <cellStyle name="Hipervínculo" xfId="249" builtinId="8" hidden="1"/>
    <cellStyle name="Hipervínculo" xfId="251" builtinId="8" hidden="1"/>
    <cellStyle name="Hipervínculo" xfId="253" builtinId="8" hidden="1"/>
    <cellStyle name="Hipervínculo" xfId="255" builtinId="8" hidden="1"/>
    <cellStyle name="Hipervínculo" xfId="257" builtinId="8" hidden="1"/>
    <cellStyle name="Hipervínculo" xfId="259" builtinId="8" hidden="1"/>
    <cellStyle name="Hipervínculo" xfId="261" builtinId="8" hidden="1"/>
    <cellStyle name="Hipervínculo" xfId="263" builtinId="8" hidden="1"/>
    <cellStyle name="Hipervínculo" xfId="265" builtinId="8" hidden="1"/>
    <cellStyle name="Hipervínculo" xfId="267" builtinId="8" hidden="1"/>
    <cellStyle name="Hipervínculo" xfId="269" builtinId="8" hidden="1"/>
    <cellStyle name="Hipervínculo" xfId="271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6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4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2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0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18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6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4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2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0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58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6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34"/>
  <sheetViews>
    <sheetView topLeftCell="H1" workbookViewId="0">
      <pane ySplit="10" topLeftCell="A11" activePane="bottomLeft" state="frozen"/>
      <selection pane="bottomLeft" activeCell="I49" sqref="I49:O49"/>
    </sheetView>
  </sheetViews>
  <sheetFormatPr baseColWidth="10" defaultRowHeight="15" x14ac:dyDescent="0.2"/>
  <cols>
    <col min="1" max="1" width="2.6640625" customWidth="1"/>
    <col min="2" max="8" width="15.83203125" customWidth="1"/>
    <col min="9" max="9" width="16.83203125" customWidth="1"/>
    <col min="10" max="22" width="15.83203125" customWidth="1"/>
  </cols>
  <sheetData>
    <row r="2" spans="2:22" x14ac:dyDescent="0.2">
      <c r="B2" s="55" t="s">
        <v>141</v>
      </c>
    </row>
    <row r="3" spans="2:22" x14ac:dyDescent="0.2">
      <c r="B3" s="56" t="s">
        <v>142</v>
      </c>
      <c r="T3">
        <v>6</v>
      </c>
    </row>
    <row r="4" spans="2:22" x14ac:dyDescent="0.2">
      <c r="B4" s="57" t="s">
        <v>143</v>
      </c>
      <c r="H4" s="125"/>
    </row>
    <row r="5" spans="2:22" x14ac:dyDescent="0.2">
      <c r="B5" s="78" t="s">
        <v>180</v>
      </c>
    </row>
    <row r="6" spans="2:22" x14ac:dyDescent="0.2">
      <c r="B6" s="58" t="s">
        <v>144</v>
      </c>
    </row>
    <row r="7" spans="2:22" x14ac:dyDescent="0.2">
      <c r="B7" s="119" t="s">
        <v>302</v>
      </c>
    </row>
    <row r="8" spans="2:22" ht="16" thickBot="1" x14ac:dyDescent="0.25"/>
    <row r="9" spans="2:22" ht="32" customHeight="1" thickBot="1" x14ac:dyDescent="0.25">
      <c r="B9" s="139">
        <v>2024</v>
      </c>
      <c r="C9" s="140"/>
      <c r="D9" s="140"/>
      <c r="E9" s="140"/>
      <c r="F9" s="140"/>
      <c r="G9" s="140"/>
      <c r="H9" s="141"/>
      <c r="I9" s="147">
        <v>2025</v>
      </c>
      <c r="J9" s="148"/>
      <c r="K9" s="148"/>
      <c r="L9" s="148"/>
      <c r="M9" s="148"/>
      <c r="N9" s="148"/>
      <c r="O9" s="149"/>
      <c r="P9" s="139">
        <v>2026</v>
      </c>
      <c r="Q9" s="140"/>
      <c r="R9" s="140"/>
      <c r="S9" s="140"/>
      <c r="T9" s="140"/>
      <c r="U9" s="140"/>
      <c r="V9" s="141"/>
    </row>
    <row r="10" spans="2:22" ht="16" thickBot="1" x14ac:dyDescent="0.25">
      <c r="B10" s="44" t="s">
        <v>21</v>
      </c>
      <c r="C10" s="45" t="s">
        <v>22</v>
      </c>
      <c r="D10" s="45" t="s">
        <v>23</v>
      </c>
      <c r="E10" s="45" t="s">
        <v>24</v>
      </c>
      <c r="F10" s="45" t="s">
        <v>25</v>
      </c>
      <c r="G10" s="45" t="s">
        <v>26</v>
      </c>
      <c r="H10" s="46" t="s">
        <v>27</v>
      </c>
      <c r="I10" s="63" t="s">
        <v>21</v>
      </c>
      <c r="J10" s="64" t="s">
        <v>22</v>
      </c>
      <c r="K10" s="64" t="s">
        <v>23</v>
      </c>
      <c r="L10" s="64" t="s">
        <v>24</v>
      </c>
      <c r="M10" s="64" t="s">
        <v>25</v>
      </c>
      <c r="N10" s="64" t="s">
        <v>26</v>
      </c>
      <c r="O10" s="65" t="s">
        <v>27</v>
      </c>
      <c r="P10" s="44" t="s">
        <v>21</v>
      </c>
      <c r="Q10" s="45" t="s">
        <v>22</v>
      </c>
      <c r="R10" s="45" t="s">
        <v>23</v>
      </c>
      <c r="S10" s="45" t="s">
        <v>24</v>
      </c>
      <c r="T10" s="45" t="s">
        <v>25</v>
      </c>
      <c r="U10" s="45" t="s">
        <v>26</v>
      </c>
      <c r="V10" s="46" t="s">
        <v>27</v>
      </c>
    </row>
    <row r="11" spans="2:22" ht="16" thickBot="1" x14ac:dyDescent="0.25">
      <c r="B11" s="142" t="s">
        <v>5</v>
      </c>
      <c r="C11" s="143"/>
      <c r="D11" s="143"/>
      <c r="E11" s="143"/>
      <c r="F11" s="143"/>
      <c r="G11" s="143"/>
      <c r="H11" s="144"/>
      <c r="I11" s="142" t="s">
        <v>5</v>
      </c>
      <c r="J11" s="143"/>
      <c r="K11" s="143"/>
      <c r="L11" s="143"/>
      <c r="M11" s="143"/>
      <c r="N11" s="143"/>
      <c r="O11" s="144"/>
      <c r="P11" s="142" t="s">
        <v>5</v>
      </c>
      <c r="Q11" s="143"/>
      <c r="R11" s="143"/>
      <c r="S11" s="143"/>
      <c r="T11" s="143"/>
      <c r="U11" s="143"/>
      <c r="V11" s="144"/>
    </row>
    <row r="12" spans="2:22" x14ac:dyDescent="0.2">
      <c r="B12" s="98">
        <v>1</v>
      </c>
      <c r="C12" s="99">
        <v>2</v>
      </c>
      <c r="D12" s="99">
        <v>3</v>
      </c>
      <c r="E12" s="99">
        <v>4</v>
      </c>
      <c r="F12" s="99">
        <v>5</v>
      </c>
      <c r="G12" s="99">
        <v>6</v>
      </c>
      <c r="H12" s="100">
        <v>7</v>
      </c>
      <c r="I12" s="82">
        <v>30</v>
      </c>
      <c r="J12" s="93">
        <v>31</v>
      </c>
      <c r="K12" s="93">
        <v>1</v>
      </c>
      <c r="L12" s="93">
        <v>2</v>
      </c>
      <c r="M12" s="93">
        <v>3</v>
      </c>
      <c r="N12" s="93">
        <v>4</v>
      </c>
      <c r="O12" s="94">
        <v>5</v>
      </c>
      <c r="P12" s="36">
        <v>29</v>
      </c>
      <c r="Q12" s="93">
        <v>30</v>
      </c>
      <c r="R12" s="93">
        <v>31</v>
      </c>
      <c r="S12" s="93">
        <v>1</v>
      </c>
      <c r="T12" s="93">
        <v>2</v>
      </c>
      <c r="U12" s="93">
        <v>3</v>
      </c>
      <c r="V12" s="94">
        <v>4</v>
      </c>
    </row>
    <row r="13" spans="2:22" x14ac:dyDescent="0.2">
      <c r="B13" s="98"/>
      <c r="C13" s="101"/>
      <c r="D13" s="101"/>
      <c r="E13" s="101"/>
      <c r="F13" s="101"/>
      <c r="G13" s="101"/>
      <c r="H13" s="102"/>
      <c r="I13" s="38"/>
      <c r="J13" s="150" t="s">
        <v>45</v>
      </c>
      <c r="K13" s="150"/>
      <c r="L13" s="150"/>
      <c r="M13" s="35"/>
      <c r="N13" s="150" t="s">
        <v>31</v>
      </c>
      <c r="O13" s="151"/>
      <c r="P13" s="185" t="s">
        <v>281</v>
      </c>
      <c r="Q13" s="164"/>
      <c r="R13" s="164"/>
      <c r="S13" s="164"/>
      <c r="T13" s="186"/>
      <c r="U13" s="152" t="s">
        <v>374</v>
      </c>
      <c r="V13" s="153"/>
    </row>
    <row r="14" spans="2:22" x14ac:dyDescent="0.2">
      <c r="B14" s="98">
        <v>8</v>
      </c>
      <c r="C14" s="101">
        <v>9</v>
      </c>
      <c r="D14" s="101">
        <v>10</v>
      </c>
      <c r="E14" s="101">
        <v>11</v>
      </c>
      <c r="F14" s="101">
        <v>12</v>
      </c>
      <c r="G14" s="101">
        <v>13</v>
      </c>
      <c r="H14" s="103">
        <v>14</v>
      </c>
      <c r="I14" s="36">
        <v>6</v>
      </c>
      <c r="J14" s="6">
        <v>7</v>
      </c>
      <c r="K14" s="6">
        <v>8</v>
      </c>
      <c r="L14" s="6">
        <v>9</v>
      </c>
      <c r="M14" s="6">
        <v>10</v>
      </c>
      <c r="N14" s="6">
        <v>11</v>
      </c>
      <c r="O14" s="37">
        <v>12</v>
      </c>
      <c r="P14" s="36">
        <v>5</v>
      </c>
      <c r="Q14" s="6">
        <v>6</v>
      </c>
      <c r="R14" s="6">
        <v>7</v>
      </c>
      <c r="S14" s="6">
        <v>8</v>
      </c>
      <c r="T14" s="6">
        <v>9</v>
      </c>
      <c r="U14" s="6">
        <v>10</v>
      </c>
      <c r="V14" s="37">
        <v>11</v>
      </c>
    </row>
    <row r="15" spans="2:22" x14ac:dyDescent="0.2">
      <c r="B15" s="98"/>
      <c r="C15" s="101"/>
      <c r="D15" s="101"/>
      <c r="E15" s="101"/>
      <c r="F15" s="101"/>
      <c r="G15" s="104"/>
      <c r="H15" s="102"/>
      <c r="I15" s="73" t="s">
        <v>31</v>
      </c>
      <c r="J15" s="35"/>
      <c r="K15" s="35"/>
      <c r="L15" s="35"/>
      <c r="M15" s="35"/>
      <c r="N15" s="150" t="s">
        <v>86</v>
      </c>
      <c r="O15" s="151"/>
      <c r="P15" s="38"/>
      <c r="Q15" s="145" t="s">
        <v>376</v>
      </c>
      <c r="R15" s="146"/>
      <c r="S15" s="146"/>
      <c r="T15" s="146"/>
      <c r="U15" s="146"/>
      <c r="V15" s="163"/>
    </row>
    <row r="16" spans="2:22" x14ac:dyDescent="0.2">
      <c r="B16" s="98">
        <v>15</v>
      </c>
      <c r="C16" s="101">
        <v>16</v>
      </c>
      <c r="D16" s="101">
        <v>17</v>
      </c>
      <c r="E16" s="101">
        <v>18</v>
      </c>
      <c r="F16" s="101">
        <v>19</v>
      </c>
      <c r="G16" s="101">
        <v>20</v>
      </c>
      <c r="H16" s="103">
        <v>21</v>
      </c>
      <c r="I16" s="36">
        <v>13</v>
      </c>
      <c r="J16" s="6">
        <v>14</v>
      </c>
      <c r="K16" s="6">
        <v>15</v>
      </c>
      <c r="L16" s="6">
        <v>16</v>
      </c>
      <c r="M16" s="6">
        <v>17</v>
      </c>
      <c r="N16" s="6">
        <v>18</v>
      </c>
      <c r="O16" s="37">
        <v>19</v>
      </c>
      <c r="P16" s="36">
        <v>12</v>
      </c>
      <c r="Q16" s="6">
        <v>13</v>
      </c>
      <c r="R16" s="6">
        <v>14</v>
      </c>
      <c r="S16" s="6">
        <v>15</v>
      </c>
      <c r="T16" s="6">
        <v>16</v>
      </c>
      <c r="U16" s="6">
        <v>17</v>
      </c>
      <c r="V16" s="37">
        <v>18</v>
      </c>
    </row>
    <row r="17" spans="2:24" x14ac:dyDescent="0.2">
      <c r="B17" s="98"/>
      <c r="C17" s="101"/>
      <c r="D17" s="101"/>
      <c r="E17" s="101"/>
      <c r="F17" s="101"/>
      <c r="G17" s="104"/>
      <c r="H17" s="102"/>
      <c r="I17" s="38"/>
      <c r="J17" s="154" t="s">
        <v>118</v>
      </c>
      <c r="K17" s="154"/>
      <c r="L17" s="154"/>
      <c r="M17" s="35"/>
      <c r="N17" s="152" t="s">
        <v>91</v>
      </c>
      <c r="O17" s="153"/>
      <c r="P17" s="73" t="s">
        <v>375</v>
      </c>
      <c r="Q17" s="35"/>
      <c r="R17" s="35"/>
      <c r="S17" s="35"/>
      <c r="T17" s="35"/>
      <c r="U17" s="152" t="s">
        <v>390</v>
      </c>
      <c r="V17" s="153"/>
    </row>
    <row r="18" spans="2:24" x14ac:dyDescent="0.2">
      <c r="B18" s="98">
        <v>22</v>
      </c>
      <c r="C18" s="101">
        <v>23</v>
      </c>
      <c r="D18" s="101">
        <v>24</v>
      </c>
      <c r="E18" s="101">
        <v>25</v>
      </c>
      <c r="F18" s="101">
        <v>26</v>
      </c>
      <c r="G18" s="101">
        <v>27</v>
      </c>
      <c r="H18" s="103">
        <v>28</v>
      </c>
      <c r="I18" s="36">
        <v>20</v>
      </c>
      <c r="J18" s="6">
        <v>21</v>
      </c>
      <c r="K18" s="6">
        <v>22</v>
      </c>
      <c r="L18" s="6">
        <v>23</v>
      </c>
      <c r="M18" s="6">
        <v>24</v>
      </c>
      <c r="N18" s="6">
        <v>25</v>
      </c>
      <c r="O18" s="37">
        <v>26</v>
      </c>
      <c r="P18" s="36">
        <v>19</v>
      </c>
      <c r="Q18" s="6">
        <v>20</v>
      </c>
      <c r="R18" s="6">
        <v>21</v>
      </c>
      <c r="S18" s="6">
        <v>22</v>
      </c>
      <c r="T18" s="6">
        <v>23</v>
      </c>
      <c r="U18" s="6">
        <v>24</v>
      </c>
      <c r="V18" s="37">
        <v>25</v>
      </c>
      <c r="X18" s="136"/>
    </row>
    <row r="19" spans="2:24" x14ac:dyDescent="0.2">
      <c r="B19" s="98"/>
      <c r="C19" s="101"/>
      <c r="D19" s="101"/>
      <c r="E19" s="101"/>
      <c r="F19" s="101"/>
      <c r="G19" s="101"/>
      <c r="H19" s="103"/>
      <c r="I19" s="38"/>
      <c r="J19" s="35"/>
      <c r="K19" s="35"/>
      <c r="L19" s="35"/>
      <c r="M19" s="35"/>
      <c r="N19" s="152" t="s">
        <v>136</v>
      </c>
      <c r="O19" s="153"/>
      <c r="P19" s="187" t="s">
        <v>118</v>
      </c>
      <c r="Q19" s="180"/>
      <c r="R19" s="35"/>
      <c r="S19" s="35"/>
      <c r="T19" s="35"/>
      <c r="U19" s="150" t="s">
        <v>391</v>
      </c>
      <c r="V19" s="151"/>
    </row>
    <row r="20" spans="2:24" x14ac:dyDescent="0.2">
      <c r="B20" s="98">
        <v>29</v>
      </c>
      <c r="C20" s="99">
        <v>30</v>
      </c>
      <c r="D20" s="99">
        <v>31</v>
      </c>
      <c r="E20" s="99">
        <v>1</v>
      </c>
      <c r="F20" s="99">
        <v>2</v>
      </c>
      <c r="G20" s="99">
        <v>3</v>
      </c>
      <c r="H20" s="100">
        <v>4</v>
      </c>
      <c r="I20" s="36">
        <v>27</v>
      </c>
      <c r="J20" s="6">
        <v>28</v>
      </c>
      <c r="K20" s="6">
        <v>29</v>
      </c>
      <c r="L20" s="6">
        <v>30</v>
      </c>
      <c r="M20" s="6">
        <v>31</v>
      </c>
      <c r="N20" s="6">
        <v>1</v>
      </c>
      <c r="O20" s="37">
        <v>2</v>
      </c>
      <c r="P20" s="36">
        <v>26</v>
      </c>
      <c r="Q20" s="6">
        <v>27</v>
      </c>
      <c r="R20" s="6">
        <v>28</v>
      </c>
      <c r="S20" s="6">
        <v>29</v>
      </c>
      <c r="T20" s="6">
        <v>30</v>
      </c>
      <c r="U20" s="6">
        <v>31</v>
      </c>
      <c r="V20" s="37">
        <v>1</v>
      </c>
    </row>
    <row r="21" spans="2:24" ht="16" thickBot="1" x14ac:dyDescent="0.25">
      <c r="B21" s="98"/>
      <c r="C21" s="101"/>
      <c r="D21" s="101"/>
      <c r="E21" s="101"/>
      <c r="F21" s="101"/>
      <c r="G21" s="101"/>
      <c r="H21" s="102"/>
      <c r="I21" s="38"/>
      <c r="J21" s="35"/>
      <c r="K21" s="35"/>
      <c r="L21" s="35"/>
      <c r="M21" s="35"/>
      <c r="N21" s="150" t="s">
        <v>145</v>
      </c>
      <c r="O21" s="151"/>
      <c r="P21" s="38"/>
      <c r="Q21" s="35"/>
      <c r="R21" s="35"/>
      <c r="S21" s="35"/>
      <c r="T21" s="35"/>
      <c r="U21" s="150" t="s">
        <v>196</v>
      </c>
      <c r="V21" s="151"/>
    </row>
    <row r="22" spans="2:24" ht="16" thickBot="1" x14ac:dyDescent="0.25">
      <c r="B22" s="142" t="s">
        <v>78</v>
      </c>
      <c r="C22" s="143"/>
      <c r="D22" s="143"/>
      <c r="E22" s="143"/>
      <c r="F22" s="143"/>
      <c r="G22" s="143"/>
      <c r="H22" s="144"/>
      <c r="I22" s="142" t="s">
        <v>78</v>
      </c>
      <c r="J22" s="143"/>
      <c r="K22" s="143"/>
      <c r="L22" s="143"/>
      <c r="M22" s="143"/>
      <c r="N22" s="143"/>
      <c r="O22" s="144"/>
      <c r="P22" s="142" t="s">
        <v>78</v>
      </c>
      <c r="Q22" s="143"/>
      <c r="R22" s="143"/>
      <c r="S22" s="143"/>
      <c r="T22" s="143"/>
      <c r="U22" s="143"/>
      <c r="V22" s="144"/>
    </row>
    <row r="23" spans="2:24" x14ac:dyDescent="0.2">
      <c r="B23" s="98">
        <v>5</v>
      </c>
      <c r="C23" s="99">
        <v>6</v>
      </c>
      <c r="D23" s="99">
        <v>7</v>
      </c>
      <c r="E23" s="99">
        <v>8</v>
      </c>
      <c r="F23" s="99">
        <v>9</v>
      </c>
      <c r="G23" s="99">
        <v>10</v>
      </c>
      <c r="H23" s="100">
        <v>11</v>
      </c>
      <c r="I23" s="36">
        <v>3</v>
      </c>
      <c r="J23" s="6">
        <v>4</v>
      </c>
      <c r="K23" s="6">
        <v>5</v>
      </c>
      <c r="L23" s="6">
        <v>6</v>
      </c>
      <c r="M23" s="6">
        <v>7</v>
      </c>
      <c r="N23" s="6">
        <v>8</v>
      </c>
      <c r="O23" s="37">
        <v>9</v>
      </c>
      <c r="P23" s="127">
        <v>2</v>
      </c>
      <c r="Q23" s="120">
        <v>3</v>
      </c>
      <c r="R23" s="120">
        <v>4</v>
      </c>
      <c r="S23" s="120">
        <v>5</v>
      </c>
      <c r="T23" s="120">
        <v>6</v>
      </c>
      <c r="U23" s="120">
        <v>7</v>
      </c>
      <c r="V23" s="128">
        <v>8</v>
      </c>
    </row>
    <row r="24" spans="2:24" x14ac:dyDescent="0.2">
      <c r="B24" s="98"/>
      <c r="C24" s="101"/>
      <c r="D24" s="101"/>
      <c r="E24" s="101"/>
      <c r="F24" s="101"/>
      <c r="G24" s="101"/>
      <c r="H24" s="102"/>
      <c r="I24" s="38"/>
      <c r="J24" s="35"/>
      <c r="K24" s="35"/>
      <c r="L24" s="35"/>
      <c r="M24" s="35"/>
      <c r="N24" s="152" t="s">
        <v>106</v>
      </c>
      <c r="O24" s="153"/>
      <c r="P24" s="38"/>
      <c r="Q24" s="35"/>
      <c r="R24" s="35"/>
      <c r="S24" s="35"/>
      <c r="T24" s="35"/>
      <c r="U24" s="150" t="s">
        <v>397</v>
      </c>
      <c r="V24" s="151"/>
    </row>
    <row r="25" spans="2:24" x14ac:dyDescent="0.2">
      <c r="B25" s="98">
        <v>12</v>
      </c>
      <c r="C25" s="101">
        <v>13</v>
      </c>
      <c r="D25" s="101">
        <v>14</v>
      </c>
      <c r="E25" s="101">
        <v>15</v>
      </c>
      <c r="F25" s="101">
        <v>16</v>
      </c>
      <c r="G25" s="101">
        <v>17</v>
      </c>
      <c r="H25" s="103">
        <v>18</v>
      </c>
      <c r="I25" s="36">
        <v>10</v>
      </c>
      <c r="J25" s="6">
        <v>11</v>
      </c>
      <c r="K25" s="6">
        <v>12</v>
      </c>
      <c r="L25" s="6">
        <v>13</v>
      </c>
      <c r="M25" s="6">
        <v>14</v>
      </c>
      <c r="N25" s="6">
        <v>15</v>
      </c>
      <c r="O25" s="37">
        <v>16</v>
      </c>
      <c r="P25" s="36">
        <v>9</v>
      </c>
      <c r="Q25" s="6">
        <v>10</v>
      </c>
      <c r="R25" s="6">
        <v>11</v>
      </c>
      <c r="S25" s="6">
        <v>12</v>
      </c>
      <c r="T25" s="6">
        <v>13</v>
      </c>
      <c r="U25" s="6">
        <v>14</v>
      </c>
      <c r="V25" s="37">
        <v>15</v>
      </c>
    </row>
    <row r="26" spans="2:24" x14ac:dyDescent="0.2">
      <c r="B26" s="98"/>
      <c r="C26" s="101"/>
      <c r="D26" s="101"/>
      <c r="E26" s="101"/>
      <c r="F26" s="101"/>
      <c r="G26" s="104"/>
      <c r="H26" s="102"/>
      <c r="I26" s="38"/>
      <c r="J26" s="35"/>
      <c r="K26" s="35"/>
      <c r="L26" s="35"/>
      <c r="M26" s="35"/>
      <c r="N26" s="150" t="s">
        <v>99</v>
      </c>
      <c r="O26" s="151"/>
      <c r="P26" s="38"/>
      <c r="Q26" s="35"/>
      <c r="R26" s="35"/>
      <c r="S26" s="35"/>
      <c r="T26" s="35"/>
      <c r="U26" s="152" t="s">
        <v>416</v>
      </c>
      <c r="V26" s="153"/>
    </row>
    <row r="27" spans="2:24" x14ac:dyDescent="0.2">
      <c r="B27" s="98">
        <v>19</v>
      </c>
      <c r="C27" s="101">
        <v>20</v>
      </c>
      <c r="D27" s="101">
        <v>21</v>
      </c>
      <c r="E27" s="101">
        <v>22</v>
      </c>
      <c r="F27" s="101">
        <v>23</v>
      </c>
      <c r="G27" s="101">
        <v>24</v>
      </c>
      <c r="H27" s="103">
        <v>25</v>
      </c>
      <c r="I27" s="36">
        <v>17</v>
      </c>
      <c r="J27" s="6">
        <v>18</v>
      </c>
      <c r="K27" s="6">
        <v>19</v>
      </c>
      <c r="L27" s="6">
        <v>20</v>
      </c>
      <c r="M27" s="6">
        <v>21</v>
      </c>
      <c r="N27" s="6">
        <v>22</v>
      </c>
      <c r="O27" s="37">
        <v>23</v>
      </c>
      <c r="P27" s="36">
        <v>16</v>
      </c>
      <c r="Q27" s="6">
        <v>17</v>
      </c>
      <c r="R27" s="6">
        <v>18</v>
      </c>
      <c r="S27" s="6">
        <v>19</v>
      </c>
      <c r="T27" s="6">
        <v>20</v>
      </c>
      <c r="U27" s="6">
        <v>21</v>
      </c>
      <c r="V27" s="37">
        <v>22</v>
      </c>
    </row>
    <row r="28" spans="2:24" x14ac:dyDescent="0.2">
      <c r="B28" s="98"/>
      <c r="C28" s="101"/>
      <c r="D28" s="101"/>
      <c r="E28" s="101"/>
      <c r="F28" s="101"/>
      <c r="G28" s="104"/>
      <c r="H28" s="102"/>
      <c r="I28" s="38"/>
      <c r="J28" s="35"/>
      <c r="K28" s="35"/>
      <c r="L28" s="35"/>
      <c r="M28" s="35"/>
      <c r="N28" s="152" t="s">
        <v>134</v>
      </c>
      <c r="O28" s="153"/>
      <c r="P28" s="38"/>
      <c r="Q28" s="35"/>
      <c r="R28" s="35"/>
      <c r="S28" s="152" t="s">
        <v>413</v>
      </c>
      <c r="T28" s="152"/>
      <c r="U28" s="35"/>
      <c r="V28" s="137" t="s">
        <v>414</v>
      </c>
    </row>
    <row r="29" spans="2:24" x14ac:dyDescent="0.2">
      <c r="B29" s="98">
        <v>26</v>
      </c>
      <c r="C29" s="101">
        <v>27</v>
      </c>
      <c r="D29" s="101">
        <v>28</v>
      </c>
      <c r="E29" s="101">
        <v>29</v>
      </c>
      <c r="F29" s="101">
        <v>1</v>
      </c>
      <c r="G29" s="101">
        <v>2</v>
      </c>
      <c r="H29" s="103">
        <v>3</v>
      </c>
      <c r="I29" s="36">
        <v>24</v>
      </c>
      <c r="J29" s="6">
        <v>25</v>
      </c>
      <c r="K29" s="6">
        <v>26</v>
      </c>
      <c r="L29" s="6">
        <v>27</v>
      </c>
      <c r="M29" s="6">
        <v>28</v>
      </c>
      <c r="N29" s="6">
        <v>1</v>
      </c>
      <c r="O29" s="37">
        <v>2</v>
      </c>
      <c r="P29" s="36">
        <v>23</v>
      </c>
      <c r="Q29" s="6">
        <v>24</v>
      </c>
      <c r="R29" s="6">
        <v>25</v>
      </c>
      <c r="S29" s="6">
        <v>26</v>
      </c>
      <c r="T29" s="6">
        <v>27</v>
      </c>
      <c r="U29" s="6">
        <v>28</v>
      </c>
      <c r="V29" s="37">
        <v>1</v>
      </c>
    </row>
    <row r="30" spans="2:24" ht="16" thickBot="1" x14ac:dyDescent="0.25">
      <c r="B30" s="98"/>
      <c r="C30" s="101"/>
      <c r="D30" s="101"/>
      <c r="E30" s="101"/>
      <c r="F30" s="101"/>
      <c r="G30" s="101"/>
      <c r="H30" s="103"/>
      <c r="I30" s="38"/>
      <c r="J30" s="35"/>
      <c r="K30" s="35"/>
      <c r="L30" s="35"/>
      <c r="M30" s="35"/>
      <c r="N30" s="155" t="s">
        <v>154</v>
      </c>
      <c r="O30" s="156"/>
      <c r="P30" s="38"/>
      <c r="Q30" s="35"/>
      <c r="R30" s="35"/>
      <c r="S30" s="35"/>
      <c r="T30" s="35"/>
      <c r="U30" s="150" t="s">
        <v>415</v>
      </c>
      <c r="V30" s="151"/>
    </row>
    <row r="31" spans="2:24" ht="16" thickBot="1" x14ac:dyDescent="0.25">
      <c r="B31" s="142" t="s">
        <v>79</v>
      </c>
      <c r="C31" s="143"/>
      <c r="D31" s="143"/>
      <c r="E31" s="143"/>
      <c r="F31" s="143"/>
      <c r="G31" s="143"/>
      <c r="H31" s="144"/>
      <c r="I31" s="142" t="s">
        <v>79</v>
      </c>
      <c r="J31" s="143"/>
      <c r="K31" s="143"/>
      <c r="L31" s="143"/>
      <c r="M31" s="143"/>
      <c r="N31" s="143"/>
      <c r="O31" s="144"/>
      <c r="P31" s="142" t="s">
        <v>79</v>
      </c>
      <c r="Q31" s="143"/>
      <c r="R31" s="143"/>
      <c r="S31" s="143"/>
      <c r="T31" s="143"/>
      <c r="U31" s="143"/>
      <c r="V31" s="144"/>
    </row>
    <row r="32" spans="2:24" x14ac:dyDescent="0.2">
      <c r="B32" s="98">
        <v>4</v>
      </c>
      <c r="C32" s="99">
        <v>5</v>
      </c>
      <c r="D32" s="99">
        <v>6</v>
      </c>
      <c r="E32" s="99">
        <v>7</v>
      </c>
      <c r="F32" s="99">
        <v>8</v>
      </c>
      <c r="G32" s="99">
        <v>9</v>
      </c>
      <c r="H32" s="100">
        <v>10</v>
      </c>
      <c r="I32" s="36">
        <v>3</v>
      </c>
      <c r="J32" s="6">
        <v>4</v>
      </c>
      <c r="K32" s="6">
        <v>5</v>
      </c>
      <c r="L32" s="6">
        <v>6</v>
      </c>
      <c r="M32" s="6">
        <v>7</v>
      </c>
      <c r="N32" s="6">
        <v>8</v>
      </c>
      <c r="O32" s="37">
        <v>9</v>
      </c>
      <c r="P32" s="127">
        <v>2</v>
      </c>
      <c r="Q32" s="120">
        <v>3</v>
      </c>
      <c r="R32" s="120">
        <v>4</v>
      </c>
      <c r="S32" s="120">
        <v>5</v>
      </c>
      <c r="T32" s="120">
        <v>6</v>
      </c>
      <c r="U32" s="120">
        <v>7</v>
      </c>
      <c r="V32" s="128">
        <v>8</v>
      </c>
    </row>
    <row r="33" spans="2:22" x14ac:dyDescent="0.2">
      <c r="B33" s="98"/>
      <c r="C33" s="101"/>
      <c r="D33" s="101"/>
      <c r="E33" s="101"/>
      <c r="F33" s="101"/>
      <c r="G33" s="101"/>
      <c r="H33" s="102"/>
      <c r="I33" s="38"/>
      <c r="J33" s="35"/>
      <c r="K33" s="35"/>
      <c r="L33" s="35"/>
      <c r="M33" s="35"/>
      <c r="N33" s="87"/>
      <c r="O33" s="88"/>
      <c r="P33" s="66"/>
      <c r="Q33" s="67"/>
      <c r="R33" s="67"/>
      <c r="S33" s="67"/>
      <c r="T33" s="67"/>
      <c r="U33" s="152" t="s">
        <v>418</v>
      </c>
      <c r="V33" s="153"/>
    </row>
    <row r="34" spans="2:22" x14ac:dyDescent="0.2">
      <c r="B34" s="98">
        <v>11</v>
      </c>
      <c r="C34" s="101">
        <v>12</v>
      </c>
      <c r="D34" s="101">
        <v>13</v>
      </c>
      <c r="E34" s="101">
        <v>14</v>
      </c>
      <c r="F34" s="101">
        <v>15</v>
      </c>
      <c r="G34" s="101">
        <v>16</v>
      </c>
      <c r="H34" s="103">
        <v>17</v>
      </c>
      <c r="I34" s="36">
        <v>10</v>
      </c>
      <c r="J34" s="6">
        <v>11</v>
      </c>
      <c r="K34" s="6">
        <v>12</v>
      </c>
      <c r="L34" s="6">
        <v>13</v>
      </c>
      <c r="M34" s="6">
        <v>14</v>
      </c>
      <c r="N34" s="6">
        <v>15</v>
      </c>
      <c r="O34" s="37">
        <v>16</v>
      </c>
      <c r="P34" s="36">
        <v>9</v>
      </c>
      <c r="Q34" s="6">
        <v>10</v>
      </c>
      <c r="R34" s="6">
        <v>11</v>
      </c>
      <c r="S34" s="6">
        <v>12</v>
      </c>
      <c r="T34" s="6">
        <v>13</v>
      </c>
      <c r="U34" s="6">
        <v>14</v>
      </c>
      <c r="V34" s="37">
        <v>15</v>
      </c>
    </row>
    <row r="35" spans="2:22" x14ac:dyDescent="0.2">
      <c r="B35" s="98"/>
      <c r="C35" s="101"/>
      <c r="D35" s="101"/>
      <c r="E35" s="101"/>
      <c r="F35" s="101"/>
      <c r="G35" s="104"/>
      <c r="H35" s="102"/>
      <c r="I35" s="38"/>
      <c r="J35" s="35"/>
      <c r="K35" s="35"/>
      <c r="L35" s="35"/>
      <c r="M35" s="35"/>
      <c r="N35" s="150" t="s">
        <v>158</v>
      </c>
      <c r="O35" s="151"/>
      <c r="P35" s="66"/>
      <c r="Q35" s="67"/>
      <c r="R35" s="67"/>
      <c r="S35" s="67"/>
      <c r="T35" s="67"/>
      <c r="U35" s="71"/>
      <c r="V35" s="72"/>
    </row>
    <row r="36" spans="2:22" x14ac:dyDescent="0.2">
      <c r="B36" s="98">
        <v>18</v>
      </c>
      <c r="C36" s="101">
        <v>19</v>
      </c>
      <c r="D36" s="101">
        <v>20</v>
      </c>
      <c r="E36" s="101">
        <v>21</v>
      </c>
      <c r="F36" s="101">
        <v>22</v>
      </c>
      <c r="G36" s="101">
        <v>23</v>
      </c>
      <c r="H36" s="103">
        <v>24</v>
      </c>
      <c r="I36" s="36">
        <v>17</v>
      </c>
      <c r="J36" s="6">
        <v>18</v>
      </c>
      <c r="K36" s="6">
        <v>19</v>
      </c>
      <c r="L36" s="6">
        <v>20</v>
      </c>
      <c r="M36" s="6">
        <v>21</v>
      </c>
      <c r="N36" s="6">
        <v>22</v>
      </c>
      <c r="O36" s="37">
        <v>23</v>
      </c>
      <c r="P36" s="36">
        <v>16</v>
      </c>
      <c r="Q36" s="6">
        <v>17</v>
      </c>
      <c r="R36" s="6">
        <v>18</v>
      </c>
      <c r="S36" s="6">
        <v>19</v>
      </c>
      <c r="T36" s="6">
        <v>20</v>
      </c>
      <c r="U36" s="6">
        <v>21</v>
      </c>
      <c r="V36" s="37">
        <v>22</v>
      </c>
    </row>
    <row r="37" spans="2:22" x14ac:dyDescent="0.2">
      <c r="B37" s="98"/>
      <c r="C37" s="101"/>
      <c r="D37" s="101"/>
      <c r="E37" s="101"/>
      <c r="F37" s="101"/>
      <c r="G37" s="104"/>
      <c r="H37" s="102"/>
      <c r="I37" s="38"/>
      <c r="J37" s="35"/>
      <c r="K37" s="35"/>
      <c r="L37" s="35"/>
      <c r="M37" s="35"/>
      <c r="N37" s="152" t="s">
        <v>150</v>
      </c>
      <c r="O37" s="153"/>
      <c r="P37" s="66"/>
      <c r="Q37" s="67"/>
      <c r="R37" s="67"/>
      <c r="S37" s="67"/>
      <c r="T37" s="67"/>
      <c r="U37" s="150" t="s">
        <v>397</v>
      </c>
      <c r="V37" s="151"/>
    </row>
    <row r="38" spans="2:22" x14ac:dyDescent="0.2">
      <c r="B38" s="98">
        <v>25</v>
      </c>
      <c r="C38" s="101">
        <v>26</v>
      </c>
      <c r="D38" s="101">
        <v>27</v>
      </c>
      <c r="E38" s="101">
        <v>28</v>
      </c>
      <c r="F38" s="101">
        <v>29</v>
      </c>
      <c r="G38" s="101">
        <v>30</v>
      </c>
      <c r="H38" s="103">
        <v>31</v>
      </c>
      <c r="I38" s="36">
        <v>24</v>
      </c>
      <c r="J38" s="6">
        <v>25</v>
      </c>
      <c r="K38" s="6">
        <v>26</v>
      </c>
      <c r="L38" s="6">
        <v>27</v>
      </c>
      <c r="M38" s="6">
        <v>28</v>
      </c>
      <c r="N38" s="6">
        <v>29</v>
      </c>
      <c r="O38" s="37">
        <v>30</v>
      </c>
      <c r="P38" s="90">
        <v>23</v>
      </c>
      <c r="Q38" s="6">
        <v>24</v>
      </c>
      <c r="R38" s="6">
        <v>25</v>
      </c>
      <c r="S38" s="6">
        <v>26</v>
      </c>
      <c r="T38" s="6">
        <v>27</v>
      </c>
      <c r="U38" s="6">
        <v>28</v>
      </c>
      <c r="V38" s="37">
        <v>29</v>
      </c>
    </row>
    <row r="39" spans="2:22" ht="16" thickBot="1" x14ac:dyDescent="0.25">
      <c r="B39" s="98"/>
      <c r="C39" s="101"/>
      <c r="D39" s="101"/>
      <c r="E39" s="101"/>
      <c r="F39" s="101"/>
      <c r="G39" s="101"/>
      <c r="H39" s="103"/>
      <c r="I39" s="40" t="s">
        <v>151</v>
      </c>
      <c r="J39" s="35"/>
      <c r="K39" s="35"/>
      <c r="L39" s="35"/>
      <c r="M39" s="35"/>
      <c r="N39" s="157" t="s">
        <v>177</v>
      </c>
      <c r="O39" s="158"/>
      <c r="P39" s="138" t="s">
        <v>375</v>
      </c>
      <c r="Q39" s="70"/>
      <c r="R39" s="70"/>
      <c r="S39" s="70"/>
      <c r="T39" s="70"/>
      <c r="U39" s="70"/>
      <c r="V39" s="81"/>
    </row>
    <row r="40" spans="2:22" ht="16" thickBot="1" x14ac:dyDescent="0.25">
      <c r="B40" s="142" t="s">
        <v>80</v>
      </c>
      <c r="C40" s="143"/>
      <c r="D40" s="143"/>
      <c r="E40" s="143"/>
      <c r="F40" s="143"/>
      <c r="G40" s="143"/>
      <c r="H40" s="144"/>
      <c r="I40" s="142" t="s">
        <v>80</v>
      </c>
      <c r="J40" s="143"/>
      <c r="K40" s="143"/>
      <c r="L40" s="143"/>
      <c r="M40" s="143"/>
      <c r="N40" s="143"/>
      <c r="O40" s="144"/>
      <c r="P40" s="182" t="s">
        <v>80</v>
      </c>
      <c r="Q40" s="183"/>
      <c r="R40" s="183"/>
      <c r="S40" s="183"/>
      <c r="T40" s="183"/>
      <c r="U40" s="183"/>
      <c r="V40" s="184"/>
    </row>
    <row r="41" spans="2:22" x14ac:dyDescent="0.2">
      <c r="B41" s="98">
        <v>1</v>
      </c>
      <c r="C41" s="99">
        <v>2</v>
      </c>
      <c r="D41" s="99">
        <v>3</v>
      </c>
      <c r="E41" s="99">
        <v>4</v>
      </c>
      <c r="F41" s="99">
        <v>5</v>
      </c>
      <c r="G41" s="99">
        <v>6</v>
      </c>
      <c r="H41" s="100">
        <v>7</v>
      </c>
      <c r="I41" s="36">
        <v>31</v>
      </c>
      <c r="J41" s="6">
        <v>1</v>
      </c>
      <c r="K41" s="6">
        <v>2</v>
      </c>
      <c r="L41" s="6">
        <v>3</v>
      </c>
      <c r="M41" s="6">
        <v>4</v>
      </c>
      <c r="N41" s="6">
        <v>5</v>
      </c>
      <c r="O41" s="37">
        <v>6</v>
      </c>
      <c r="P41" s="66">
        <v>30</v>
      </c>
      <c r="Q41" s="83">
        <v>31</v>
      </c>
      <c r="R41" s="83">
        <v>1</v>
      </c>
      <c r="S41" s="117">
        <v>2</v>
      </c>
      <c r="T41" s="117">
        <v>3</v>
      </c>
      <c r="U41" s="83">
        <v>4</v>
      </c>
      <c r="V41" s="84">
        <v>5</v>
      </c>
    </row>
    <row r="42" spans="2:22" x14ac:dyDescent="0.2">
      <c r="B42" s="98"/>
      <c r="C42" s="101"/>
      <c r="D42" s="101"/>
      <c r="E42" s="101"/>
      <c r="F42" s="101"/>
      <c r="G42" s="101"/>
      <c r="H42" s="102"/>
      <c r="I42" s="38"/>
      <c r="J42" s="35"/>
      <c r="K42" s="35"/>
      <c r="L42" s="35"/>
      <c r="M42" s="35"/>
      <c r="N42" s="87"/>
      <c r="O42" s="88"/>
      <c r="P42" s="66"/>
      <c r="Q42" s="67"/>
      <c r="R42" s="67"/>
      <c r="S42" s="67"/>
      <c r="T42" s="67"/>
      <c r="U42" s="67"/>
      <c r="V42" s="72"/>
    </row>
    <row r="43" spans="2:22" x14ac:dyDescent="0.2">
      <c r="B43" s="98">
        <v>8</v>
      </c>
      <c r="C43" s="101">
        <v>9</v>
      </c>
      <c r="D43" s="101">
        <v>10</v>
      </c>
      <c r="E43" s="101">
        <v>11</v>
      </c>
      <c r="F43" s="101">
        <v>12</v>
      </c>
      <c r="G43" s="101">
        <v>13</v>
      </c>
      <c r="H43" s="103">
        <v>14</v>
      </c>
      <c r="I43" s="36">
        <v>7</v>
      </c>
      <c r="J43" s="6">
        <v>8</v>
      </c>
      <c r="K43" s="6">
        <v>9</v>
      </c>
      <c r="L43" s="6">
        <v>10</v>
      </c>
      <c r="M43" s="6">
        <v>11</v>
      </c>
      <c r="N43" s="6">
        <v>12</v>
      </c>
      <c r="O43" s="37">
        <v>13</v>
      </c>
      <c r="P43" s="66">
        <v>6</v>
      </c>
      <c r="Q43" s="67">
        <v>7</v>
      </c>
      <c r="R43" s="67">
        <v>8</v>
      </c>
      <c r="S43" s="67">
        <v>9</v>
      </c>
      <c r="T43" s="67">
        <v>10</v>
      </c>
      <c r="U43" s="6">
        <v>11</v>
      </c>
      <c r="V43" s="37">
        <v>12</v>
      </c>
    </row>
    <row r="44" spans="2:22" x14ac:dyDescent="0.2">
      <c r="B44" s="98"/>
      <c r="C44" s="101"/>
      <c r="D44" s="101"/>
      <c r="E44" s="101"/>
      <c r="F44" s="101"/>
      <c r="G44" s="104"/>
      <c r="H44" s="102"/>
      <c r="I44" s="38"/>
      <c r="J44" s="35"/>
      <c r="K44" s="35"/>
      <c r="L44" s="35"/>
      <c r="M44" s="35"/>
      <c r="N44" s="87"/>
      <c r="O44" s="88"/>
      <c r="P44" s="66"/>
      <c r="Q44" s="67"/>
      <c r="R44" s="67"/>
      <c r="S44" s="67"/>
      <c r="T44" s="67"/>
      <c r="U44" s="150" t="s">
        <v>417</v>
      </c>
      <c r="V44" s="151"/>
    </row>
    <row r="45" spans="2:22" x14ac:dyDescent="0.2">
      <c r="B45" s="98">
        <v>15</v>
      </c>
      <c r="C45" s="101">
        <v>16</v>
      </c>
      <c r="D45" s="101">
        <v>17</v>
      </c>
      <c r="E45" s="101">
        <v>18</v>
      </c>
      <c r="F45" s="101">
        <v>19</v>
      </c>
      <c r="G45" s="101">
        <v>20</v>
      </c>
      <c r="H45" s="103">
        <v>21</v>
      </c>
      <c r="I45" s="36">
        <v>14</v>
      </c>
      <c r="J45" s="6">
        <v>15</v>
      </c>
      <c r="K45" s="6">
        <v>16</v>
      </c>
      <c r="L45" s="6">
        <v>17</v>
      </c>
      <c r="M45" s="6">
        <v>18</v>
      </c>
      <c r="N45" s="6">
        <v>19</v>
      </c>
      <c r="O45" s="37">
        <v>20</v>
      </c>
      <c r="P45" s="66">
        <v>13</v>
      </c>
      <c r="Q45" s="67">
        <v>14</v>
      </c>
      <c r="R45" s="67">
        <v>15</v>
      </c>
      <c r="S45" s="67">
        <v>16</v>
      </c>
      <c r="T45" s="67">
        <v>17</v>
      </c>
      <c r="U45" s="67">
        <v>18</v>
      </c>
      <c r="V45" s="68">
        <v>19</v>
      </c>
    </row>
    <row r="46" spans="2:22" x14ac:dyDescent="0.2">
      <c r="B46" s="98"/>
      <c r="C46" s="101"/>
      <c r="D46" s="101"/>
      <c r="E46" s="101"/>
      <c r="F46" s="101"/>
      <c r="G46" s="104"/>
      <c r="H46" s="102"/>
      <c r="I46" s="38"/>
      <c r="J46" s="35"/>
      <c r="K46" s="35"/>
      <c r="L46" s="157" t="s">
        <v>160</v>
      </c>
      <c r="M46" s="164"/>
      <c r="N46" s="164"/>
      <c r="O46" s="158"/>
      <c r="P46" s="66"/>
      <c r="Q46" s="67"/>
      <c r="R46" s="67"/>
      <c r="S46" s="67"/>
      <c r="T46" s="67"/>
      <c r="U46" s="71"/>
      <c r="V46" s="72"/>
    </row>
    <row r="47" spans="2:22" x14ac:dyDescent="0.2">
      <c r="B47" s="98">
        <v>22</v>
      </c>
      <c r="C47" s="101">
        <v>23</v>
      </c>
      <c r="D47" s="101">
        <v>24</v>
      </c>
      <c r="E47" s="101">
        <v>25</v>
      </c>
      <c r="F47" s="101">
        <v>26</v>
      </c>
      <c r="G47" s="101">
        <v>27</v>
      </c>
      <c r="H47" s="103">
        <v>28</v>
      </c>
      <c r="I47" s="36">
        <v>21</v>
      </c>
      <c r="J47" s="6">
        <v>22</v>
      </c>
      <c r="K47" s="6">
        <v>23</v>
      </c>
      <c r="L47" s="6">
        <v>24</v>
      </c>
      <c r="M47" s="6">
        <v>25</v>
      </c>
      <c r="N47" s="6">
        <v>26</v>
      </c>
      <c r="O47" s="37">
        <v>27</v>
      </c>
      <c r="P47" s="66">
        <v>20</v>
      </c>
      <c r="Q47" s="67">
        <v>21</v>
      </c>
      <c r="R47" s="67">
        <v>22</v>
      </c>
      <c r="S47" s="67">
        <v>23</v>
      </c>
      <c r="T47" s="67">
        <v>24</v>
      </c>
      <c r="U47" s="67">
        <v>25</v>
      </c>
      <c r="V47" s="68">
        <v>26</v>
      </c>
    </row>
    <row r="48" spans="2:22" ht="16" thickBot="1" x14ac:dyDescent="0.25">
      <c r="B48" s="98"/>
      <c r="C48" s="101"/>
      <c r="D48" s="101"/>
      <c r="E48" s="101"/>
      <c r="F48" s="101"/>
      <c r="G48" s="101"/>
      <c r="H48" s="103"/>
      <c r="I48" s="188" t="s">
        <v>192</v>
      </c>
      <c r="J48" s="146"/>
      <c r="K48" s="146"/>
      <c r="L48" s="146"/>
      <c r="M48" s="146"/>
      <c r="N48" s="146"/>
      <c r="O48" s="163"/>
      <c r="P48" s="66"/>
      <c r="Q48" s="67"/>
      <c r="R48" s="67"/>
      <c r="S48" s="67"/>
      <c r="T48" s="67"/>
      <c r="U48" s="67"/>
      <c r="V48" s="68"/>
    </row>
    <row r="49" spans="2:22" ht="16" thickBot="1" x14ac:dyDescent="0.25">
      <c r="B49" s="142" t="s">
        <v>159</v>
      </c>
      <c r="C49" s="143"/>
      <c r="D49" s="143"/>
      <c r="E49" s="143"/>
      <c r="F49" s="143"/>
      <c r="G49" s="143"/>
      <c r="H49" s="144"/>
      <c r="I49" s="142" t="s">
        <v>159</v>
      </c>
      <c r="J49" s="143"/>
      <c r="K49" s="143"/>
      <c r="L49" s="143"/>
      <c r="M49" s="143"/>
      <c r="N49" s="143"/>
      <c r="O49" s="144"/>
      <c r="P49" s="142" t="s">
        <v>159</v>
      </c>
      <c r="Q49" s="143"/>
      <c r="R49" s="143"/>
      <c r="S49" s="143"/>
      <c r="T49" s="143"/>
      <c r="U49" s="143"/>
      <c r="V49" s="144"/>
    </row>
    <row r="50" spans="2:22" x14ac:dyDescent="0.2">
      <c r="B50" s="105">
        <v>29</v>
      </c>
      <c r="C50" s="99">
        <v>30</v>
      </c>
      <c r="D50" s="99">
        <v>1</v>
      </c>
      <c r="E50" s="99">
        <v>2</v>
      </c>
      <c r="F50" s="99">
        <v>3</v>
      </c>
      <c r="G50" s="99">
        <v>4</v>
      </c>
      <c r="H50" s="100">
        <v>5</v>
      </c>
      <c r="I50" s="90">
        <v>28</v>
      </c>
      <c r="J50" s="6">
        <v>29</v>
      </c>
      <c r="K50" s="6">
        <v>30</v>
      </c>
      <c r="L50" s="6">
        <v>1</v>
      </c>
      <c r="M50" s="6">
        <v>2</v>
      </c>
      <c r="N50" s="6">
        <v>3</v>
      </c>
      <c r="O50" s="37">
        <v>4</v>
      </c>
      <c r="P50" s="66">
        <v>27</v>
      </c>
      <c r="Q50" s="83">
        <v>28</v>
      </c>
      <c r="R50" s="83">
        <v>29</v>
      </c>
      <c r="S50" s="83">
        <v>30</v>
      </c>
      <c r="T50" s="117">
        <v>1</v>
      </c>
      <c r="U50" s="83">
        <v>2</v>
      </c>
      <c r="V50" s="84">
        <v>3</v>
      </c>
    </row>
    <row r="51" spans="2:22" x14ac:dyDescent="0.2">
      <c r="B51" s="98"/>
      <c r="C51" s="101"/>
      <c r="D51" s="101"/>
      <c r="E51" s="101"/>
      <c r="F51" s="101"/>
      <c r="G51" s="101"/>
      <c r="H51" s="102"/>
      <c r="I51" s="91"/>
      <c r="J51" s="35"/>
      <c r="K51" s="152" t="s">
        <v>194</v>
      </c>
      <c r="L51" s="152"/>
      <c r="M51" s="35"/>
      <c r="N51" s="157" t="s">
        <v>195</v>
      </c>
      <c r="O51" s="158"/>
      <c r="P51" s="66"/>
      <c r="Q51" s="67"/>
      <c r="R51" s="67"/>
      <c r="S51" s="67"/>
      <c r="T51" s="67"/>
      <c r="U51" s="67"/>
      <c r="V51" s="72"/>
    </row>
    <row r="52" spans="2:22" x14ac:dyDescent="0.2">
      <c r="B52" s="98">
        <v>6</v>
      </c>
      <c r="C52" s="101">
        <v>7</v>
      </c>
      <c r="D52" s="101">
        <v>8</v>
      </c>
      <c r="E52" s="101">
        <v>9</v>
      </c>
      <c r="F52" s="101">
        <v>10</v>
      </c>
      <c r="G52" s="101">
        <v>11</v>
      </c>
      <c r="H52" s="103">
        <v>12</v>
      </c>
      <c r="I52" s="90">
        <v>5</v>
      </c>
      <c r="J52" s="6">
        <v>6</v>
      </c>
      <c r="K52" s="6">
        <v>7</v>
      </c>
      <c r="L52" s="6">
        <v>8</v>
      </c>
      <c r="M52" s="6">
        <v>9</v>
      </c>
      <c r="N52" s="6">
        <v>10</v>
      </c>
      <c r="O52" s="37">
        <v>11</v>
      </c>
      <c r="P52" s="66">
        <v>4</v>
      </c>
      <c r="Q52" s="67">
        <v>5</v>
      </c>
      <c r="R52" s="67">
        <v>6</v>
      </c>
      <c r="S52" s="67">
        <v>7</v>
      </c>
      <c r="T52" s="67">
        <v>8</v>
      </c>
      <c r="U52" s="67">
        <v>9</v>
      </c>
      <c r="V52" s="68">
        <v>10</v>
      </c>
    </row>
    <row r="53" spans="2:22" x14ac:dyDescent="0.2">
      <c r="B53" s="98"/>
      <c r="C53" s="101"/>
      <c r="D53" s="101"/>
      <c r="E53" s="101"/>
      <c r="F53" s="101"/>
      <c r="G53" s="104"/>
      <c r="H53" s="102"/>
      <c r="I53" s="91"/>
      <c r="J53" s="35"/>
      <c r="K53" s="35"/>
      <c r="L53" s="35"/>
      <c r="M53" s="35"/>
      <c r="N53" s="157" t="s">
        <v>209</v>
      </c>
      <c r="O53" s="158"/>
      <c r="P53" s="66"/>
      <c r="Q53" s="67"/>
      <c r="R53" s="67"/>
      <c r="S53" s="67"/>
      <c r="T53" s="67"/>
      <c r="U53" s="71"/>
      <c r="V53" s="72"/>
    </row>
    <row r="54" spans="2:22" x14ac:dyDescent="0.2">
      <c r="B54" s="98">
        <v>13</v>
      </c>
      <c r="C54" s="101">
        <v>14</v>
      </c>
      <c r="D54" s="101">
        <v>15</v>
      </c>
      <c r="E54" s="101">
        <v>16</v>
      </c>
      <c r="F54" s="101">
        <v>17</v>
      </c>
      <c r="G54" s="101">
        <v>18</v>
      </c>
      <c r="H54" s="103">
        <v>19</v>
      </c>
      <c r="I54" s="90">
        <v>12</v>
      </c>
      <c r="J54" s="6">
        <v>13</v>
      </c>
      <c r="K54" s="6">
        <v>14</v>
      </c>
      <c r="L54" s="6">
        <v>15</v>
      </c>
      <c r="M54" s="6">
        <v>16</v>
      </c>
      <c r="N54" s="6">
        <v>17</v>
      </c>
      <c r="O54" s="37">
        <v>18</v>
      </c>
      <c r="P54" s="66">
        <v>11</v>
      </c>
      <c r="Q54" s="67">
        <v>12</v>
      </c>
      <c r="R54" s="67">
        <v>13</v>
      </c>
      <c r="S54" s="67">
        <v>14</v>
      </c>
      <c r="T54" s="67">
        <v>15</v>
      </c>
      <c r="U54" s="67">
        <v>16</v>
      </c>
      <c r="V54" s="68">
        <v>17</v>
      </c>
    </row>
    <row r="55" spans="2:22" x14ac:dyDescent="0.2">
      <c r="B55" s="98"/>
      <c r="C55" s="101"/>
      <c r="D55" s="101"/>
      <c r="E55" s="101"/>
      <c r="F55" s="101"/>
      <c r="G55" s="104"/>
      <c r="H55" s="102"/>
      <c r="I55" s="91"/>
      <c r="J55" s="35"/>
      <c r="K55" s="35"/>
      <c r="L55" s="35"/>
      <c r="M55" s="157" t="s">
        <v>211</v>
      </c>
      <c r="N55" s="164"/>
      <c r="O55" s="158"/>
      <c r="P55" s="66"/>
      <c r="Q55" s="67"/>
      <c r="R55" s="67"/>
      <c r="S55" s="67"/>
      <c r="T55" s="67"/>
      <c r="U55" s="71"/>
      <c r="V55" s="72"/>
    </row>
    <row r="56" spans="2:22" x14ac:dyDescent="0.2">
      <c r="B56" s="98">
        <v>20</v>
      </c>
      <c r="C56" s="101">
        <v>21</v>
      </c>
      <c r="D56" s="101">
        <v>22</v>
      </c>
      <c r="E56" s="101">
        <v>23</v>
      </c>
      <c r="F56" s="101">
        <v>24</v>
      </c>
      <c r="G56" s="101">
        <v>25</v>
      </c>
      <c r="H56" s="103">
        <v>26</v>
      </c>
      <c r="I56" s="90">
        <v>19</v>
      </c>
      <c r="J56" s="6">
        <v>20</v>
      </c>
      <c r="K56" s="6">
        <v>21</v>
      </c>
      <c r="L56" s="6">
        <v>22</v>
      </c>
      <c r="M56" s="6">
        <v>23</v>
      </c>
      <c r="N56" s="6">
        <v>24</v>
      </c>
      <c r="O56" s="37">
        <v>25</v>
      </c>
      <c r="P56" s="115">
        <v>18</v>
      </c>
      <c r="Q56" s="67">
        <v>19</v>
      </c>
      <c r="R56" s="67">
        <v>20</v>
      </c>
      <c r="S56" s="67">
        <v>21</v>
      </c>
      <c r="T56" s="67">
        <v>22</v>
      </c>
      <c r="U56" s="67">
        <v>23</v>
      </c>
      <c r="V56" s="68">
        <v>24</v>
      </c>
    </row>
    <row r="57" spans="2:22" x14ac:dyDescent="0.2">
      <c r="B57" s="98"/>
      <c r="C57" s="101"/>
      <c r="D57" s="101"/>
      <c r="E57" s="101"/>
      <c r="F57" s="101"/>
      <c r="G57" s="101"/>
      <c r="H57" s="103"/>
      <c r="I57" s="92" t="s">
        <v>143</v>
      </c>
      <c r="J57" s="35"/>
      <c r="K57" s="35"/>
      <c r="L57" s="35"/>
      <c r="M57" s="35"/>
      <c r="N57" s="145" t="s">
        <v>196</v>
      </c>
      <c r="O57" s="163"/>
      <c r="P57" s="66"/>
      <c r="Q57" s="67"/>
      <c r="R57" s="67"/>
      <c r="S57" s="67"/>
      <c r="T57" s="67"/>
      <c r="U57" s="67"/>
      <c r="V57" s="68"/>
    </row>
    <row r="58" spans="2:22" x14ac:dyDescent="0.2">
      <c r="B58" s="98">
        <v>27</v>
      </c>
      <c r="C58" s="99">
        <v>28</v>
      </c>
      <c r="D58" s="99">
        <v>29</v>
      </c>
      <c r="E58" s="99">
        <v>30</v>
      </c>
      <c r="F58" s="99">
        <v>31</v>
      </c>
      <c r="G58" s="99">
        <v>1</v>
      </c>
      <c r="H58" s="100">
        <v>2</v>
      </c>
      <c r="I58" s="90">
        <v>26</v>
      </c>
      <c r="J58" s="6">
        <v>27</v>
      </c>
      <c r="K58" s="6">
        <v>28</v>
      </c>
      <c r="L58" s="6">
        <v>29</v>
      </c>
      <c r="M58" s="6">
        <v>30</v>
      </c>
      <c r="N58" s="6">
        <v>31</v>
      </c>
      <c r="O58" s="37">
        <v>1</v>
      </c>
      <c r="P58" s="66">
        <v>25</v>
      </c>
      <c r="Q58" s="83">
        <v>26</v>
      </c>
      <c r="R58" s="83">
        <v>27</v>
      </c>
      <c r="S58" s="83">
        <v>28</v>
      </c>
      <c r="T58" s="83">
        <v>29</v>
      </c>
      <c r="U58" s="83">
        <v>30</v>
      </c>
      <c r="V58" s="84">
        <v>31</v>
      </c>
    </row>
    <row r="59" spans="2:22" ht="16" thickBot="1" x14ac:dyDescent="0.25">
      <c r="B59" s="106"/>
      <c r="C59" s="107"/>
      <c r="D59" s="107"/>
      <c r="E59" s="107"/>
      <c r="F59" s="107"/>
      <c r="G59" s="107"/>
      <c r="H59" s="108"/>
      <c r="I59" s="91"/>
      <c r="J59" s="35"/>
      <c r="K59" s="35"/>
      <c r="L59" s="35"/>
      <c r="M59" s="35"/>
      <c r="N59" s="161" t="s">
        <v>223</v>
      </c>
      <c r="O59" s="162"/>
      <c r="P59" s="66"/>
      <c r="Q59" s="67"/>
      <c r="R59" s="67"/>
      <c r="S59" s="67"/>
      <c r="T59" s="67"/>
      <c r="U59" s="67"/>
      <c r="V59" s="72"/>
    </row>
    <row r="60" spans="2:22" ht="16" thickBot="1" x14ac:dyDescent="0.25">
      <c r="B60" s="167" t="s">
        <v>191</v>
      </c>
      <c r="C60" s="168"/>
      <c r="D60" s="168"/>
      <c r="E60" s="168"/>
      <c r="F60" s="168"/>
      <c r="G60" s="168"/>
      <c r="H60" s="169"/>
      <c r="I60" s="142" t="s">
        <v>191</v>
      </c>
      <c r="J60" s="143"/>
      <c r="K60" s="143"/>
      <c r="L60" s="143"/>
      <c r="M60" s="143"/>
      <c r="N60" s="143"/>
      <c r="O60" s="144"/>
      <c r="P60" s="142" t="s">
        <v>191</v>
      </c>
      <c r="Q60" s="143"/>
      <c r="R60" s="143"/>
      <c r="S60" s="143"/>
      <c r="T60" s="143"/>
      <c r="U60" s="143"/>
      <c r="V60" s="144"/>
    </row>
    <row r="61" spans="2:22" x14ac:dyDescent="0.2">
      <c r="B61" s="98">
        <v>3</v>
      </c>
      <c r="C61" s="99">
        <v>4</v>
      </c>
      <c r="D61" s="99">
        <v>5</v>
      </c>
      <c r="E61" s="99">
        <v>6</v>
      </c>
      <c r="F61" s="99">
        <v>7</v>
      </c>
      <c r="G61" s="99">
        <v>8</v>
      </c>
      <c r="H61" s="100">
        <v>9</v>
      </c>
      <c r="I61" s="36">
        <v>2</v>
      </c>
      <c r="J61" s="6">
        <v>3</v>
      </c>
      <c r="K61" s="6">
        <v>4</v>
      </c>
      <c r="L61" s="6">
        <v>5</v>
      </c>
      <c r="M61" s="6">
        <v>6</v>
      </c>
      <c r="N61" s="6">
        <v>7</v>
      </c>
      <c r="O61" s="37">
        <v>8</v>
      </c>
      <c r="P61" s="66">
        <v>1</v>
      </c>
      <c r="Q61" s="83">
        <v>2</v>
      </c>
      <c r="R61" s="83">
        <v>3</v>
      </c>
      <c r="S61" s="83">
        <v>4</v>
      </c>
      <c r="T61" s="83">
        <v>5</v>
      </c>
      <c r="U61" s="83">
        <v>6</v>
      </c>
      <c r="V61" s="84">
        <v>7</v>
      </c>
    </row>
    <row r="62" spans="2:22" x14ac:dyDescent="0.2">
      <c r="B62" s="98"/>
      <c r="C62" s="101"/>
      <c r="D62" s="101"/>
      <c r="E62" s="101"/>
      <c r="F62" s="101"/>
      <c r="G62" s="101"/>
      <c r="H62" s="102"/>
      <c r="I62" s="38"/>
      <c r="J62" s="35"/>
      <c r="K62" s="35"/>
      <c r="L62" s="35"/>
      <c r="M62" s="35"/>
      <c r="N62" s="192" t="s">
        <v>207</v>
      </c>
      <c r="O62" s="193"/>
      <c r="P62" s="66"/>
      <c r="Q62" s="67"/>
      <c r="R62" s="67"/>
      <c r="S62" s="67"/>
      <c r="T62" s="67"/>
      <c r="U62" s="67"/>
      <c r="V62" s="72"/>
    </row>
    <row r="63" spans="2:22" x14ac:dyDescent="0.2">
      <c r="B63" s="98">
        <v>10</v>
      </c>
      <c r="C63" s="101">
        <v>11</v>
      </c>
      <c r="D63" s="101">
        <v>12</v>
      </c>
      <c r="E63" s="101">
        <v>13</v>
      </c>
      <c r="F63" s="101">
        <v>14</v>
      </c>
      <c r="G63" s="101">
        <v>15</v>
      </c>
      <c r="H63" s="103">
        <v>16</v>
      </c>
      <c r="I63" s="36">
        <v>9</v>
      </c>
      <c r="J63" s="6">
        <v>10</v>
      </c>
      <c r="K63" s="6">
        <v>11</v>
      </c>
      <c r="L63" s="6">
        <v>12</v>
      </c>
      <c r="M63" s="6">
        <v>13</v>
      </c>
      <c r="N63" s="6">
        <v>14</v>
      </c>
      <c r="O63" s="37">
        <v>15</v>
      </c>
      <c r="P63" s="115">
        <v>8</v>
      </c>
      <c r="Q63" s="67">
        <v>9</v>
      </c>
      <c r="R63" s="67">
        <v>10</v>
      </c>
      <c r="S63" s="67">
        <v>11</v>
      </c>
      <c r="T63" s="67">
        <v>12</v>
      </c>
      <c r="U63" s="67">
        <v>13</v>
      </c>
      <c r="V63" s="68">
        <v>14</v>
      </c>
    </row>
    <row r="64" spans="2:22" x14ac:dyDescent="0.2">
      <c r="B64" s="98"/>
      <c r="C64" s="101"/>
      <c r="D64" s="101"/>
      <c r="E64" s="101"/>
      <c r="F64" s="101"/>
      <c r="G64" s="104"/>
      <c r="H64" s="102"/>
      <c r="I64" s="38"/>
      <c r="J64" s="35"/>
      <c r="K64" s="35"/>
      <c r="L64" s="145" t="s">
        <v>230</v>
      </c>
      <c r="M64" s="146"/>
      <c r="N64" s="146"/>
      <c r="O64" s="163"/>
      <c r="P64" s="66"/>
      <c r="Q64" s="67"/>
      <c r="R64" s="67"/>
      <c r="S64" s="67"/>
      <c r="T64" s="67"/>
      <c r="U64" s="71"/>
      <c r="V64" s="72"/>
    </row>
    <row r="65" spans="2:22" x14ac:dyDescent="0.2">
      <c r="B65" s="98">
        <v>17</v>
      </c>
      <c r="C65" s="101">
        <v>18</v>
      </c>
      <c r="D65" s="101">
        <v>19</v>
      </c>
      <c r="E65" s="101">
        <v>20</v>
      </c>
      <c r="F65" s="101">
        <v>21</v>
      </c>
      <c r="G65" s="101">
        <v>22</v>
      </c>
      <c r="H65" s="103">
        <v>23</v>
      </c>
      <c r="I65" s="36">
        <v>16</v>
      </c>
      <c r="J65" s="6">
        <v>17</v>
      </c>
      <c r="K65" s="6">
        <v>18</v>
      </c>
      <c r="L65" s="6">
        <v>19</v>
      </c>
      <c r="M65" s="6">
        <v>20</v>
      </c>
      <c r="N65" s="6">
        <v>21</v>
      </c>
      <c r="O65" s="37">
        <v>22</v>
      </c>
      <c r="P65" s="115">
        <v>15</v>
      </c>
      <c r="Q65" s="67">
        <v>16</v>
      </c>
      <c r="R65" s="67">
        <v>17</v>
      </c>
      <c r="S65" s="67">
        <v>18</v>
      </c>
      <c r="T65" s="67">
        <v>19</v>
      </c>
      <c r="U65" s="67">
        <v>20</v>
      </c>
      <c r="V65" s="68">
        <v>21</v>
      </c>
    </row>
    <row r="66" spans="2:22" x14ac:dyDescent="0.2">
      <c r="B66" s="98"/>
      <c r="C66" s="101"/>
      <c r="D66" s="101"/>
      <c r="E66" s="101"/>
      <c r="F66" s="101"/>
      <c r="G66" s="104"/>
      <c r="H66" s="102"/>
      <c r="I66" s="38"/>
      <c r="J66" s="35"/>
      <c r="K66" s="35"/>
      <c r="L66" s="35"/>
      <c r="M66" s="35"/>
      <c r="N66" s="170" t="s">
        <v>219</v>
      </c>
      <c r="O66" s="172"/>
      <c r="P66" s="66"/>
      <c r="Q66" s="67"/>
      <c r="R66" s="67"/>
      <c r="S66" s="67"/>
      <c r="T66" s="67"/>
      <c r="U66" s="71"/>
      <c r="V66" s="72"/>
    </row>
    <row r="67" spans="2:22" x14ac:dyDescent="0.2">
      <c r="B67" s="98">
        <v>24</v>
      </c>
      <c r="C67" s="101">
        <v>25</v>
      </c>
      <c r="D67" s="101">
        <v>26</v>
      </c>
      <c r="E67" s="101">
        <v>27</v>
      </c>
      <c r="F67" s="101">
        <v>28</v>
      </c>
      <c r="G67" s="101">
        <v>29</v>
      </c>
      <c r="H67" s="103">
        <v>30</v>
      </c>
      <c r="I67" s="36">
        <v>23</v>
      </c>
      <c r="J67" s="6">
        <v>24</v>
      </c>
      <c r="K67" s="6">
        <v>25</v>
      </c>
      <c r="L67" s="6">
        <v>26</v>
      </c>
      <c r="M67" s="6">
        <v>27</v>
      </c>
      <c r="N67" s="6">
        <v>28</v>
      </c>
      <c r="O67" s="37">
        <v>29</v>
      </c>
      <c r="P67" s="66">
        <v>22</v>
      </c>
      <c r="Q67" s="67">
        <v>23</v>
      </c>
      <c r="R67" s="67">
        <v>24</v>
      </c>
      <c r="S67" s="67">
        <v>25</v>
      </c>
      <c r="T67" s="67">
        <v>26</v>
      </c>
      <c r="U67" s="67">
        <v>27</v>
      </c>
      <c r="V67" s="68">
        <v>28</v>
      </c>
    </row>
    <row r="68" spans="2:22" ht="16" thickBot="1" x14ac:dyDescent="0.25">
      <c r="B68" s="98"/>
      <c r="C68" s="101"/>
      <c r="D68" s="101"/>
      <c r="E68" s="101"/>
      <c r="F68" s="101"/>
      <c r="G68" s="101"/>
      <c r="H68" s="103"/>
      <c r="I68" s="73" t="s">
        <v>219</v>
      </c>
      <c r="J68" s="35"/>
      <c r="K68" s="35"/>
      <c r="L68" s="35"/>
      <c r="M68" s="174" t="s">
        <v>208</v>
      </c>
      <c r="N68" s="175"/>
      <c r="O68" s="176"/>
      <c r="P68" s="66"/>
      <c r="Q68" s="67"/>
      <c r="R68" s="67"/>
      <c r="S68" s="67"/>
      <c r="T68" s="67"/>
      <c r="U68" s="67"/>
      <c r="V68" s="68"/>
    </row>
    <row r="69" spans="2:22" ht="16" thickBot="1" x14ac:dyDescent="0.25">
      <c r="B69" s="142" t="s">
        <v>203</v>
      </c>
      <c r="C69" s="143"/>
      <c r="D69" s="143"/>
      <c r="E69" s="143"/>
      <c r="F69" s="143"/>
      <c r="G69" s="143"/>
      <c r="H69" s="144"/>
      <c r="I69" s="142" t="s">
        <v>203</v>
      </c>
      <c r="J69" s="143"/>
      <c r="K69" s="143"/>
      <c r="L69" s="143"/>
      <c r="M69" s="143"/>
      <c r="N69" s="143"/>
      <c r="O69" s="144"/>
      <c r="P69" s="142" t="s">
        <v>203</v>
      </c>
      <c r="Q69" s="143"/>
      <c r="R69" s="143"/>
      <c r="S69" s="143"/>
      <c r="T69" s="143"/>
      <c r="U69" s="143"/>
      <c r="V69" s="144"/>
    </row>
    <row r="70" spans="2:22" x14ac:dyDescent="0.2">
      <c r="B70" s="98">
        <v>1</v>
      </c>
      <c r="C70" s="101">
        <v>2</v>
      </c>
      <c r="D70" s="101">
        <v>3</v>
      </c>
      <c r="E70" s="101">
        <v>4</v>
      </c>
      <c r="F70" s="101">
        <v>5</v>
      </c>
      <c r="G70" s="101">
        <v>6</v>
      </c>
      <c r="H70" s="103">
        <v>7</v>
      </c>
      <c r="I70" s="36">
        <v>30</v>
      </c>
      <c r="J70" s="6">
        <v>1</v>
      </c>
      <c r="K70" s="6">
        <v>2</v>
      </c>
      <c r="L70" s="6">
        <v>3</v>
      </c>
      <c r="M70" s="6">
        <v>4</v>
      </c>
      <c r="N70" s="6">
        <v>5</v>
      </c>
      <c r="O70" s="37">
        <v>6</v>
      </c>
      <c r="P70" s="115">
        <v>29</v>
      </c>
      <c r="Q70" s="83">
        <v>30</v>
      </c>
      <c r="R70" s="83">
        <v>1</v>
      </c>
      <c r="S70" s="83">
        <v>2</v>
      </c>
      <c r="T70" s="83">
        <v>3</v>
      </c>
      <c r="U70" s="83">
        <v>4</v>
      </c>
      <c r="V70" s="84">
        <v>5</v>
      </c>
    </row>
    <row r="71" spans="2:22" x14ac:dyDescent="0.2">
      <c r="B71" s="98"/>
      <c r="C71" s="101"/>
      <c r="D71" s="101"/>
      <c r="E71" s="101"/>
      <c r="F71" s="101"/>
      <c r="G71" s="101"/>
      <c r="H71" s="103"/>
      <c r="I71" s="86" t="s">
        <v>180</v>
      </c>
      <c r="J71" s="159" t="s">
        <v>250</v>
      </c>
      <c r="K71" s="160"/>
      <c r="L71" s="35"/>
      <c r="M71" s="35"/>
      <c r="N71" s="157" t="s">
        <v>242</v>
      </c>
      <c r="O71" s="158"/>
      <c r="P71" s="66"/>
      <c r="Q71" s="67"/>
      <c r="R71" s="67"/>
      <c r="S71" s="67"/>
      <c r="T71" s="67"/>
      <c r="U71" s="67"/>
      <c r="V71" s="72"/>
    </row>
    <row r="72" spans="2:22" x14ac:dyDescent="0.2">
      <c r="B72" s="98">
        <v>8</v>
      </c>
      <c r="C72" s="101">
        <v>9</v>
      </c>
      <c r="D72" s="101">
        <v>10</v>
      </c>
      <c r="E72" s="101">
        <v>11</v>
      </c>
      <c r="F72" s="101">
        <v>12</v>
      </c>
      <c r="G72" s="101">
        <v>13</v>
      </c>
      <c r="H72" s="103">
        <v>14</v>
      </c>
      <c r="I72" s="36">
        <v>7</v>
      </c>
      <c r="J72" s="6">
        <v>8</v>
      </c>
      <c r="K72" s="6">
        <v>9</v>
      </c>
      <c r="L72" s="6">
        <v>10</v>
      </c>
      <c r="M72" s="6">
        <v>11</v>
      </c>
      <c r="N72" s="6">
        <v>12</v>
      </c>
      <c r="O72" s="37">
        <v>13</v>
      </c>
      <c r="P72" s="66">
        <v>6</v>
      </c>
      <c r="Q72" s="67">
        <v>7</v>
      </c>
      <c r="R72" s="67">
        <v>8</v>
      </c>
      <c r="S72" s="67">
        <v>9</v>
      </c>
      <c r="T72" s="67">
        <v>10</v>
      </c>
      <c r="U72" s="67">
        <v>11</v>
      </c>
      <c r="V72" s="68">
        <v>12</v>
      </c>
    </row>
    <row r="73" spans="2:22" x14ac:dyDescent="0.2">
      <c r="B73" s="98"/>
      <c r="C73" s="101"/>
      <c r="D73" s="101"/>
      <c r="E73" s="101"/>
      <c r="F73" s="101"/>
      <c r="G73" s="104"/>
      <c r="H73" s="102"/>
      <c r="I73" s="38"/>
      <c r="J73" s="35"/>
      <c r="K73" s="35"/>
      <c r="L73" s="35"/>
      <c r="M73" s="35"/>
      <c r="N73" s="157" t="s">
        <v>252</v>
      </c>
      <c r="O73" s="158"/>
      <c r="P73" s="66"/>
      <c r="Q73" s="67"/>
      <c r="R73" s="67"/>
      <c r="S73" s="67"/>
      <c r="T73" s="67"/>
      <c r="U73" s="71"/>
      <c r="V73" s="72"/>
    </row>
    <row r="74" spans="2:22" x14ac:dyDescent="0.2">
      <c r="B74" s="98">
        <v>15</v>
      </c>
      <c r="C74" s="101">
        <v>16</v>
      </c>
      <c r="D74" s="101">
        <v>17</v>
      </c>
      <c r="E74" s="101">
        <v>18</v>
      </c>
      <c r="F74" s="101">
        <v>19</v>
      </c>
      <c r="G74" s="101">
        <v>20</v>
      </c>
      <c r="H74" s="103">
        <v>21</v>
      </c>
      <c r="I74" s="36">
        <v>14</v>
      </c>
      <c r="J74" s="6">
        <v>15</v>
      </c>
      <c r="K74" s="6">
        <v>16</v>
      </c>
      <c r="L74" s="6">
        <v>17</v>
      </c>
      <c r="M74" s="6">
        <v>18</v>
      </c>
      <c r="N74" s="6">
        <v>19</v>
      </c>
      <c r="O74" s="37">
        <v>20</v>
      </c>
      <c r="P74" s="66">
        <v>13</v>
      </c>
      <c r="Q74" s="67">
        <v>14</v>
      </c>
      <c r="R74" s="67">
        <v>15</v>
      </c>
      <c r="S74" s="67">
        <v>16</v>
      </c>
      <c r="T74" s="67">
        <v>17</v>
      </c>
      <c r="U74" s="67">
        <v>18</v>
      </c>
      <c r="V74" s="68">
        <v>19</v>
      </c>
    </row>
    <row r="75" spans="2:22" x14ac:dyDescent="0.2">
      <c r="B75" s="98"/>
      <c r="C75" s="101"/>
      <c r="D75" s="101"/>
      <c r="E75" s="101"/>
      <c r="F75" s="101"/>
      <c r="G75" s="101"/>
      <c r="H75" s="103"/>
      <c r="I75" s="38"/>
      <c r="J75" s="35"/>
      <c r="K75" s="35"/>
      <c r="L75" s="35"/>
      <c r="M75" s="35"/>
      <c r="N75" s="170" t="s">
        <v>233</v>
      </c>
      <c r="O75" s="172"/>
      <c r="P75" s="66"/>
      <c r="Q75" s="67"/>
      <c r="R75" s="67"/>
      <c r="S75" s="67"/>
      <c r="T75" s="67"/>
      <c r="U75" s="71"/>
      <c r="V75" s="72"/>
    </row>
    <row r="76" spans="2:22" x14ac:dyDescent="0.2">
      <c r="B76" s="98">
        <v>22</v>
      </c>
      <c r="C76" s="101">
        <v>23</v>
      </c>
      <c r="D76" s="101">
        <v>24</v>
      </c>
      <c r="E76" s="101">
        <v>25</v>
      </c>
      <c r="F76" s="101">
        <v>26</v>
      </c>
      <c r="G76" s="101">
        <v>27</v>
      </c>
      <c r="H76" s="103">
        <v>28</v>
      </c>
      <c r="I76" s="36">
        <v>21</v>
      </c>
      <c r="J76" s="6">
        <v>22</v>
      </c>
      <c r="K76" s="6">
        <v>23</v>
      </c>
      <c r="L76" s="6">
        <v>24</v>
      </c>
      <c r="M76" s="6">
        <v>25</v>
      </c>
      <c r="N76" s="6">
        <v>26</v>
      </c>
      <c r="O76" s="37">
        <v>27</v>
      </c>
      <c r="P76" s="115">
        <v>20</v>
      </c>
      <c r="Q76" s="67">
        <v>21</v>
      </c>
      <c r="R76" s="67">
        <v>22</v>
      </c>
      <c r="S76" s="67">
        <v>23</v>
      </c>
      <c r="T76" s="67">
        <v>24</v>
      </c>
      <c r="U76" s="67">
        <v>25</v>
      </c>
      <c r="V76" s="68">
        <v>26</v>
      </c>
    </row>
    <row r="77" spans="2:22" x14ac:dyDescent="0.2">
      <c r="B77" s="98"/>
      <c r="C77" s="101"/>
      <c r="D77" s="101"/>
      <c r="E77" s="101"/>
      <c r="F77" s="101"/>
      <c r="G77" s="104"/>
      <c r="H77" s="102"/>
      <c r="I77" s="38"/>
      <c r="J77" s="159" t="s">
        <v>250</v>
      </c>
      <c r="K77" s="173"/>
      <c r="L77" s="35"/>
      <c r="M77" s="35"/>
      <c r="N77" s="170" t="s">
        <v>256</v>
      </c>
      <c r="O77" s="172"/>
      <c r="P77" s="66"/>
      <c r="Q77" s="67"/>
      <c r="R77" s="67"/>
      <c r="S77" s="67"/>
      <c r="T77" s="67"/>
      <c r="U77" s="67"/>
      <c r="V77" s="68"/>
    </row>
    <row r="78" spans="2:22" x14ac:dyDescent="0.2">
      <c r="B78" s="98">
        <v>29</v>
      </c>
      <c r="C78" s="101">
        <v>30</v>
      </c>
      <c r="D78" s="101">
        <v>31</v>
      </c>
      <c r="E78" s="101">
        <v>1</v>
      </c>
      <c r="F78" s="101">
        <v>2</v>
      </c>
      <c r="G78" s="101">
        <v>3</v>
      </c>
      <c r="H78" s="103">
        <v>4</v>
      </c>
      <c r="I78" s="36">
        <v>28</v>
      </c>
      <c r="J78" s="6">
        <v>29</v>
      </c>
      <c r="K78" s="6">
        <v>30</v>
      </c>
      <c r="L78" s="6">
        <v>31</v>
      </c>
      <c r="M78" s="6">
        <v>1</v>
      </c>
      <c r="N78" s="6">
        <v>2</v>
      </c>
      <c r="O78" s="37">
        <v>3</v>
      </c>
      <c r="P78" s="66">
        <v>27</v>
      </c>
      <c r="Q78" s="67">
        <v>28</v>
      </c>
      <c r="R78" s="67">
        <v>29</v>
      </c>
      <c r="S78" s="67">
        <v>30</v>
      </c>
      <c r="T78" s="67">
        <v>31</v>
      </c>
      <c r="U78" s="67">
        <v>1</v>
      </c>
      <c r="V78" s="68">
        <v>2</v>
      </c>
    </row>
    <row r="79" spans="2:22" ht="16" thickBot="1" x14ac:dyDescent="0.25">
      <c r="B79" s="109"/>
      <c r="C79" s="110"/>
      <c r="D79" s="110"/>
      <c r="E79" s="110"/>
      <c r="F79" s="110"/>
      <c r="G79" s="110"/>
      <c r="H79" s="111"/>
      <c r="I79" s="38"/>
      <c r="J79" s="35"/>
      <c r="K79" s="35"/>
      <c r="L79" s="35"/>
      <c r="M79" s="35"/>
      <c r="N79" s="157" t="s">
        <v>255</v>
      </c>
      <c r="O79" s="158"/>
      <c r="P79" s="66"/>
      <c r="Q79" s="67"/>
      <c r="R79" s="67"/>
      <c r="S79" s="67"/>
      <c r="T79" s="67"/>
      <c r="U79" s="67"/>
      <c r="V79" s="68"/>
    </row>
    <row r="80" spans="2:22" ht="16" thickBot="1" x14ac:dyDescent="0.25">
      <c r="B80" s="142" t="s">
        <v>204</v>
      </c>
      <c r="C80" s="143"/>
      <c r="D80" s="143"/>
      <c r="E80" s="143"/>
      <c r="F80" s="143"/>
      <c r="G80" s="143"/>
      <c r="H80" s="144"/>
      <c r="I80" s="142" t="s">
        <v>204</v>
      </c>
      <c r="J80" s="143"/>
      <c r="K80" s="143"/>
      <c r="L80" s="143"/>
      <c r="M80" s="143"/>
      <c r="N80" s="143"/>
      <c r="O80" s="144"/>
      <c r="P80" s="142" t="s">
        <v>204</v>
      </c>
      <c r="Q80" s="143"/>
      <c r="R80" s="143"/>
      <c r="S80" s="143"/>
      <c r="T80" s="143"/>
      <c r="U80" s="143"/>
      <c r="V80" s="144"/>
    </row>
    <row r="81" spans="2:22" x14ac:dyDescent="0.2">
      <c r="B81" s="98">
        <v>5</v>
      </c>
      <c r="C81" s="99">
        <v>6</v>
      </c>
      <c r="D81" s="99">
        <v>7</v>
      </c>
      <c r="E81" s="99">
        <v>8</v>
      </c>
      <c r="F81" s="99">
        <v>9</v>
      </c>
      <c r="G81" s="99">
        <v>10</v>
      </c>
      <c r="H81" s="100">
        <v>11</v>
      </c>
      <c r="I81" s="82">
        <v>4</v>
      </c>
      <c r="J81" s="6">
        <v>5</v>
      </c>
      <c r="K81" s="6">
        <v>6</v>
      </c>
      <c r="L81" s="6">
        <v>7</v>
      </c>
      <c r="M81" s="6">
        <v>8</v>
      </c>
      <c r="N81" s="6">
        <v>9</v>
      </c>
      <c r="O81" s="37">
        <v>10</v>
      </c>
      <c r="P81" s="66">
        <v>3</v>
      </c>
      <c r="Q81" s="67">
        <v>4</v>
      </c>
      <c r="R81" s="67">
        <v>5</v>
      </c>
      <c r="S81" s="67">
        <v>6</v>
      </c>
      <c r="T81" s="116">
        <v>7</v>
      </c>
      <c r="U81" s="67">
        <v>8</v>
      </c>
      <c r="V81" s="68">
        <v>9</v>
      </c>
    </row>
    <row r="82" spans="2:22" x14ac:dyDescent="0.2">
      <c r="B82" s="98"/>
      <c r="C82" s="101"/>
      <c r="D82" s="101"/>
      <c r="E82" s="101"/>
      <c r="F82" s="101"/>
      <c r="G82" s="101"/>
      <c r="H82" s="102"/>
      <c r="I82" s="185" t="s">
        <v>205</v>
      </c>
      <c r="J82" s="186"/>
      <c r="K82" s="35"/>
      <c r="L82" s="155" t="s">
        <v>230</v>
      </c>
      <c r="M82" s="155"/>
      <c r="N82" s="155" t="s">
        <v>271</v>
      </c>
      <c r="O82" s="156"/>
      <c r="P82" s="66"/>
      <c r="Q82" s="67"/>
      <c r="R82" s="67"/>
      <c r="S82" s="67"/>
      <c r="T82" s="67"/>
      <c r="U82" s="67"/>
      <c r="V82" s="68"/>
    </row>
    <row r="83" spans="2:22" x14ac:dyDescent="0.2">
      <c r="B83" s="98">
        <v>12</v>
      </c>
      <c r="C83" s="101">
        <v>13</v>
      </c>
      <c r="D83" s="101">
        <v>14</v>
      </c>
      <c r="E83" s="101">
        <v>15</v>
      </c>
      <c r="F83" s="101">
        <v>16</v>
      </c>
      <c r="G83" s="101">
        <v>17</v>
      </c>
      <c r="H83" s="103">
        <v>18</v>
      </c>
      <c r="I83" s="36">
        <v>11</v>
      </c>
      <c r="J83" s="6">
        <v>12</v>
      </c>
      <c r="K83" s="6">
        <v>13</v>
      </c>
      <c r="L83" s="6">
        <v>14</v>
      </c>
      <c r="M83" s="6">
        <v>15</v>
      </c>
      <c r="N83" s="6">
        <v>16</v>
      </c>
      <c r="O83" s="37">
        <v>17</v>
      </c>
      <c r="P83" s="66">
        <v>10</v>
      </c>
      <c r="Q83" s="67">
        <v>11</v>
      </c>
      <c r="R83" s="67">
        <v>12</v>
      </c>
      <c r="S83" s="67">
        <v>13</v>
      </c>
      <c r="T83" s="67">
        <v>14</v>
      </c>
      <c r="U83" s="67">
        <v>15</v>
      </c>
      <c r="V83" s="68">
        <v>16</v>
      </c>
    </row>
    <row r="84" spans="2:22" x14ac:dyDescent="0.2">
      <c r="B84" s="98"/>
      <c r="C84" s="101"/>
      <c r="D84" s="101"/>
      <c r="E84" s="101"/>
      <c r="F84" s="101"/>
      <c r="G84" s="104"/>
      <c r="H84" s="102"/>
      <c r="I84" s="38"/>
      <c r="J84" s="35"/>
      <c r="K84" s="35"/>
      <c r="L84" s="35"/>
      <c r="M84" s="35"/>
      <c r="N84" s="157" t="s">
        <v>275</v>
      </c>
      <c r="O84" s="158"/>
      <c r="P84" s="66"/>
      <c r="Q84" s="67"/>
      <c r="R84" s="67"/>
      <c r="S84" s="67"/>
      <c r="T84" s="67"/>
      <c r="U84" s="67"/>
      <c r="V84" s="68"/>
    </row>
    <row r="85" spans="2:22" x14ac:dyDescent="0.2">
      <c r="B85" s="98">
        <v>19</v>
      </c>
      <c r="C85" s="101">
        <v>20</v>
      </c>
      <c r="D85" s="101">
        <v>21</v>
      </c>
      <c r="E85" s="101">
        <v>22</v>
      </c>
      <c r="F85" s="101">
        <v>23</v>
      </c>
      <c r="G85" s="101">
        <v>24</v>
      </c>
      <c r="H85" s="103">
        <v>25</v>
      </c>
      <c r="I85" s="36">
        <v>18</v>
      </c>
      <c r="J85" s="6">
        <v>19</v>
      </c>
      <c r="K85" s="6">
        <v>20</v>
      </c>
      <c r="L85" s="6">
        <v>21</v>
      </c>
      <c r="M85" s="6">
        <v>22</v>
      </c>
      <c r="N85" s="6">
        <v>23</v>
      </c>
      <c r="O85" s="37">
        <v>24</v>
      </c>
      <c r="P85" s="115">
        <v>17</v>
      </c>
      <c r="Q85" s="67">
        <v>18</v>
      </c>
      <c r="R85" s="67">
        <v>19</v>
      </c>
      <c r="S85" s="67">
        <v>20</v>
      </c>
      <c r="T85" s="67">
        <v>21</v>
      </c>
      <c r="U85" s="67">
        <v>22</v>
      </c>
      <c r="V85" s="68">
        <v>23</v>
      </c>
    </row>
    <row r="86" spans="2:22" x14ac:dyDescent="0.2">
      <c r="B86" s="98"/>
      <c r="C86" s="101"/>
      <c r="D86" s="101"/>
      <c r="E86" s="101"/>
      <c r="F86" s="101"/>
      <c r="G86" s="104"/>
      <c r="H86" s="102"/>
      <c r="I86" s="92" t="s">
        <v>143</v>
      </c>
      <c r="J86" s="35"/>
      <c r="K86" s="35"/>
      <c r="L86" s="35"/>
      <c r="M86" s="35"/>
      <c r="N86" s="155" t="s">
        <v>154</v>
      </c>
      <c r="O86" s="156"/>
      <c r="P86" s="66"/>
      <c r="Q86" s="67"/>
      <c r="R86" s="67"/>
      <c r="S86" s="67"/>
      <c r="T86" s="67"/>
      <c r="U86" s="67"/>
      <c r="V86" s="68"/>
    </row>
    <row r="87" spans="2:22" x14ac:dyDescent="0.2">
      <c r="B87" s="98">
        <v>26</v>
      </c>
      <c r="C87" s="101">
        <v>27</v>
      </c>
      <c r="D87" s="101">
        <v>28</v>
      </c>
      <c r="E87" s="101">
        <v>29</v>
      </c>
      <c r="F87" s="101">
        <v>30</v>
      </c>
      <c r="G87" s="101">
        <v>31</v>
      </c>
      <c r="H87" s="103">
        <v>1</v>
      </c>
      <c r="I87" s="36">
        <v>25</v>
      </c>
      <c r="J87" s="6">
        <v>26</v>
      </c>
      <c r="K87" s="6">
        <v>27</v>
      </c>
      <c r="L87" s="6">
        <v>28</v>
      </c>
      <c r="M87" s="6">
        <v>29</v>
      </c>
      <c r="N87" s="6">
        <v>30</v>
      </c>
      <c r="O87" s="37">
        <v>31</v>
      </c>
      <c r="P87" s="66">
        <v>24</v>
      </c>
      <c r="Q87" s="67">
        <v>25</v>
      </c>
      <c r="R87" s="67">
        <v>26</v>
      </c>
      <c r="S87" s="67">
        <v>27</v>
      </c>
      <c r="T87" s="67">
        <v>28</v>
      </c>
      <c r="U87" s="67">
        <v>29</v>
      </c>
      <c r="V87" s="68">
        <v>30</v>
      </c>
    </row>
    <row r="88" spans="2:22" ht="16" thickBot="1" x14ac:dyDescent="0.25">
      <c r="B88" s="98"/>
      <c r="C88" s="101"/>
      <c r="D88" s="101"/>
      <c r="E88" s="101"/>
      <c r="F88" s="101"/>
      <c r="G88" s="101"/>
      <c r="H88" s="103"/>
      <c r="I88" s="38"/>
      <c r="J88" s="35"/>
      <c r="K88" s="35"/>
      <c r="L88" s="35"/>
      <c r="M88" s="35"/>
      <c r="N88" s="170" t="s">
        <v>279</v>
      </c>
      <c r="O88" s="172"/>
      <c r="P88" s="66"/>
      <c r="Q88" s="67"/>
      <c r="R88" s="67"/>
      <c r="S88" s="67"/>
      <c r="T88" s="67"/>
      <c r="U88" s="67"/>
      <c r="V88" s="68"/>
    </row>
    <row r="89" spans="2:22" ht="16" thickBot="1" x14ac:dyDescent="0.25">
      <c r="B89" s="142" t="s">
        <v>7</v>
      </c>
      <c r="C89" s="143"/>
      <c r="D89" s="143"/>
      <c r="E89" s="143"/>
      <c r="F89" s="143"/>
      <c r="G89" s="143"/>
      <c r="H89" s="144"/>
      <c r="I89" s="142" t="s">
        <v>7</v>
      </c>
      <c r="J89" s="143"/>
      <c r="K89" s="143"/>
      <c r="L89" s="143"/>
      <c r="M89" s="143"/>
      <c r="N89" s="143"/>
      <c r="O89" s="144"/>
      <c r="P89" s="142" t="s">
        <v>7</v>
      </c>
      <c r="Q89" s="143"/>
      <c r="R89" s="143"/>
      <c r="S89" s="143"/>
      <c r="T89" s="143"/>
      <c r="U89" s="143"/>
      <c r="V89" s="144"/>
    </row>
    <row r="90" spans="2:22" x14ac:dyDescent="0.2">
      <c r="B90" s="36">
        <v>2</v>
      </c>
      <c r="C90" s="6">
        <v>3</v>
      </c>
      <c r="D90" s="6">
        <v>4</v>
      </c>
      <c r="E90" s="6">
        <v>5</v>
      </c>
      <c r="F90" s="6">
        <v>6</v>
      </c>
      <c r="G90" s="6">
        <v>7</v>
      </c>
      <c r="H90" s="59">
        <v>8</v>
      </c>
      <c r="I90" s="36">
        <v>1</v>
      </c>
      <c r="J90" s="6">
        <v>2</v>
      </c>
      <c r="K90" s="6">
        <v>3</v>
      </c>
      <c r="L90" s="6">
        <v>4</v>
      </c>
      <c r="M90" s="6">
        <v>5</v>
      </c>
      <c r="N90" s="6">
        <v>6</v>
      </c>
      <c r="O90" s="37">
        <v>7</v>
      </c>
      <c r="P90" s="66">
        <v>31</v>
      </c>
      <c r="Q90" s="83">
        <v>1</v>
      </c>
      <c r="R90" s="83">
        <v>2</v>
      </c>
      <c r="S90" s="83">
        <v>3</v>
      </c>
      <c r="T90" s="83">
        <v>4</v>
      </c>
      <c r="U90" s="83">
        <v>5</v>
      </c>
      <c r="V90" s="84">
        <v>6</v>
      </c>
    </row>
    <row r="91" spans="2:22" x14ac:dyDescent="0.2">
      <c r="B91" s="38"/>
      <c r="C91" s="35"/>
      <c r="D91" s="35"/>
      <c r="E91" s="35"/>
      <c r="F91" s="35"/>
      <c r="G91" s="87"/>
      <c r="H91" s="88"/>
      <c r="I91" s="38"/>
      <c r="J91" s="35"/>
      <c r="K91" s="35"/>
      <c r="L91" s="35"/>
      <c r="M91" s="35"/>
      <c r="N91" s="170" t="s">
        <v>288</v>
      </c>
      <c r="O91" s="172"/>
      <c r="P91" s="66"/>
      <c r="Q91" s="67"/>
      <c r="R91" s="67"/>
      <c r="S91" s="67"/>
      <c r="T91" s="67"/>
      <c r="U91" s="67"/>
      <c r="V91" s="72"/>
    </row>
    <row r="92" spans="2:22" x14ac:dyDescent="0.2">
      <c r="B92" s="36">
        <v>9</v>
      </c>
      <c r="C92" s="6">
        <v>10</v>
      </c>
      <c r="D92" s="6">
        <v>11</v>
      </c>
      <c r="E92" s="6">
        <v>12</v>
      </c>
      <c r="F92" s="6">
        <v>13</v>
      </c>
      <c r="G92" s="6">
        <v>14</v>
      </c>
      <c r="H92" s="59">
        <v>15</v>
      </c>
      <c r="I92" s="36">
        <v>8</v>
      </c>
      <c r="J92" s="6">
        <v>9</v>
      </c>
      <c r="K92" s="6">
        <v>10</v>
      </c>
      <c r="L92" s="6">
        <v>11</v>
      </c>
      <c r="M92" s="6">
        <v>12</v>
      </c>
      <c r="N92" s="6">
        <v>13</v>
      </c>
      <c r="O92" s="37">
        <v>14</v>
      </c>
      <c r="P92" s="66">
        <v>7</v>
      </c>
      <c r="Q92" s="67">
        <v>8</v>
      </c>
      <c r="R92" s="67">
        <v>9</v>
      </c>
      <c r="S92" s="67">
        <v>10</v>
      </c>
      <c r="T92" s="67">
        <v>11</v>
      </c>
      <c r="U92" s="67">
        <v>12</v>
      </c>
      <c r="V92" s="68">
        <v>13</v>
      </c>
    </row>
    <row r="93" spans="2:22" x14ac:dyDescent="0.2">
      <c r="B93" s="38"/>
      <c r="C93" s="35"/>
      <c r="D93" s="35"/>
      <c r="E93" s="35"/>
      <c r="F93" s="35"/>
      <c r="G93" s="145" t="s">
        <v>36</v>
      </c>
      <c r="H93" s="146"/>
      <c r="I93" s="38"/>
      <c r="J93" s="35"/>
      <c r="K93" s="35"/>
      <c r="L93" s="35"/>
      <c r="M93" s="35"/>
      <c r="N93" s="170" t="s">
        <v>285</v>
      </c>
      <c r="O93" s="171"/>
      <c r="P93" s="66"/>
      <c r="Q93" s="67"/>
      <c r="R93" s="67"/>
      <c r="S93" s="67"/>
      <c r="T93" s="67"/>
      <c r="U93" s="71"/>
      <c r="V93" s="72"/>
    </row>
    <row r="94" spans="2:22" x14ac:dyDescent="0.2">
      <c r="B94" s="36">
        <v>16</v>
      </c>
      <c r="C94" s="6">
        <v>17</v>
      </c>
      <c r="D94" s="6">
        <v>18</v>
      </c>
      <c r="E94" s="6">
        <v>19</v>
      </c>
      <c r="F94" s="6">
        <v>20</v>
      </c>
      <c r="G94" s="6">
        <v>21</v>
      </c>
      <c r="H94" s="59">
        <v>22</v>
      </c>
      <c r="I94" s="36">
        <v>15</v>
      </c>
      <c r="J94" s="6">
        <v>16</v>
      </c>
      <c r="K94" s="6">
        <v>17</v>
      </c>
      <c r="L94" s="6">
        <v>18</v>
      </c>
      <c r="M94" s="6">
        <v>19</v>
      </c>
      <c r="N94" s="6">
        <v>20</v>
      </c>
      <c r="O94" s="37">
        <v>21</v>
      </c>
      <c r="P94" s="66">
        <v>14</v>
      </c>
      <c r="Q94" s="67">
        <v>15</v>
      </c>
      <c r="R94" s="67">
        <v>16</v>
      </c>
      <c r="S94" s="67">
        <v>17</v>
      </c>
      <c r="T94" s="67">
        <v>18</v>
      </c>
      <c r="U94" s="67">
        <v>19</v>
      </c>
      <c r="V94" s="68">
        <v>20</v>
      </c>
    </row>
    <row r="95" spans="2:22" x14ac:dyDescent="0.2">
      <c r="B95" s="38"/>
      <c r="C95" s="35"/>
      <c r="D95" s="35"/>
      <c r="E95" s="35"/>
      <c r="F95" s="35"/>
      <c r="G95" s="150" t="s">
        <v>116</v>
      </c>
      <c r="H95" s="145"/>
      <c r="I95" s="38"/>
      <c r="J95" s="35"/>
      <c r="K95" s="35"/>
      <c r="L95" s="35"/>
      <c r="M95" s="35"/>
      <c r="N95" s="157" t="s">
        <v>293</v>
      </c>
      <c r="O95" s="158"/>
      <c r="P95" s="66"/>
      <c r="Q95" s="67"/>
      <c r="R95" s="67"/>
      <c r="S95" s="67"/>
      <c r="T95" s="67"/>
      <c r="U95" s="71"/>
      <c r="V95" s="72"/>
    </row>
    <row r="96" spans="2:22" x14ac:dyDescent="0.2">
      <c r="B96" s="36">
        <v>23</v>
      </c>
      <c r="C96" s="6">
        <v>24</v>
      </c>
      <c r="D96" s="6">
        <v>25</v>
      </c>
      <c r="E96" s="6">
        <v>26</v>
      </c>
      <c r="F96" s="6">
        <v>27</v>
      </c>
      <c r="G96" s="6">
        <v>28</v>
      </c>
      <c r="H96" s="59">
        <v>29</v>
      </c>
      <c r="I96" s="36">
        <v>22</v>
      </c>
      <c r="J96" s="6">
        <v>23</v>
      </c>
      <c r="K96" s="6">
        <v>24</v>
      </c>
      <c r="L96" s="6">
        <v>25</v>
      </c>
      <c r="M96" s="6">
        <v>26</v>
      </c>
      <c r="N96" s="6">
        <v>27</v>
      </c>
      <c r="O96" s="37">
        <v>28</v>
      </c>
      <c r="P96" s="66">
        <v>21</v>
      </c>
      <c r="Q96" s="67">
        <v>22</v>
      </c>
      <c r="R96" s="67">
        <v>23</v>
      </c>
      <c r="S96" s="67">
        <v>24</v>
      </c>
      <c r="T96" s="67">
        <v>25</v>
      </c>
      <c r="U96" s="67">
        <v>26</v>
      </c>
      <c r="V96" s="68">
        <v>27</v>
      </c>
    </row>
    <row r="97" spans="2:22" ht="16" thickBot="1" x14ac:dyDescent="0.25">
      <c r="B97" s="38"/>
      <c r="C97" s="35"/>
      <c r="D97" s="35"/>
      <c r="E97" s="35"/>
      <c r="F97" s="35"/>
      <c r="G97" s="87"/>
      <c r="H97" s="88"/>
      <c r="I97" s="38"/>
      <c r="J97" s="35"/>
      <c r="K97" s="35"/>
      <c r="L97" s="35"/>
      <c r="M97" s="35"/>
      <c r="N97" s="170" t="s">
        <v>284</v>
      </c>
      <c r="O97" s="172"/>
      <c r="P97" s="66"/>
      <c r="Q97" s="67"/>
      <c r="R97" s="67"/>
      <c r="S97" s="67"/>
      <c r="T97" s="67"/>
      <c r="U97" s="67"/>
      <c r="V97" s="68"/>
    </row>
    <row r="98" spans="2:22" ht="16" thickBot="1" x14ac:dyDescent="0.25">
      <c r="B98" s="142" t="s">
        <v>8</v>
      </c>
      <c r="C98" s="143"/>
      <c r="D98" s="143"/>
      <c r="E98" s="143"/>
      <c r="F98" s="143"/>
      <c r="G98" s="143"/>
      <c r="H98" s="144"/>
      <c r="I98" s="142" t="s">
        <v>8</v>
      </c>
      <c r="J98" s="143"/>
      <c r="K98" s="143"/>
      <c r="L98" s="143"/>
      <c r="M98" s="143"/>
      <c r="N98" s="143"/>
      <c r="O98" s="144"/>
      <c r="P98" s="142" t="s">
        <v>8</v>
      </c>
      <c r="Q98" s="143"/>
      <c r="R98" s="143"/>
      <c r="S98" s="143"/>
      <c r="T98" s="143"/>
      <c r="U98" s="143"/>
      <c r="V98" s="144"/>
    </row>
    <row r="99" spans="2:22" x14ac:dyDescent="0.2">
      <c r="B99" s="36">
        <v>30</v>
      </c>
      <c r="C99" s="6">
        <v>1</v>
      </c>
      <c r="D99" s="6">
        <v>2</v>
      </c>
      <c r="E99" s="6">
        <v>3</v>
      </c>
      <c r="F99" s="6">
        <v>4</v>
      </c>
      <c r="G99" s="6">
        <v>5</v>
      </c>
      <c r="H99" s="59">
        <v>6</v>
      </c>
      <c r="I99" s="36">
        <v>29</v>
      </c>
      <c r="J99" s="6">
        <v>30</v>
      </c>
      <c r="K99" s="6">
        <v>1</v>
      </c>
      <c r="L99" s="6">
        <v>2</v>
      </c>
      <c r="M99" s="6">
        <v>3</v>
      </c>
      <c r="N99" s="6">
        <v>4</v>
      </c>
      <c r="O99" s="37">
        <v>5</v>
      </c>
      <c r="P99" s="66">
        <v>28</v>
      </c>
      <c r="Q99" s="83">
        <v>29</v>
      </c>
      <c r="R99" s="83">
        <v>30</v>
      </c>
      <c r="S99" s="83">
        <v>1</v>
      </c>
      <c r="T99" s="83">
        <v>2</v>
      </c>
      <c r="U99" s="83">
        <v>3</v>
      </c>
      <c r="V99" s="84">
        <v>4</v>
      </c>
    </row>
    <row r="100" spans="2:22" x14ac:dyDescent="0.2">
      <c r="B100" s="38"/>
      <c r="C100" s="35"/>
      <c r="D100" s="35"/>
      <c r="E100" s="35"/>
      <c r="F100" s="35"/>
      <c r="G100" s="150" t="s">
        <v>28</v>
      </c>
      <c r="H100" s="145"/>
      <c r="I100" s="38"/>
      <c r="J100" s="35"/>
      <c r="K100" s="35"/>
      <c r="L100" s="35"/>
      <c r="M100" s="35"/>
      <c r="N100" s="87"/>
      <c r="O100" s="88"/>
      <c r="P100" s="66"/>
      <c r="Q100" s="67"/>
      <c r="R100" s="67"/>
      <c r="S100" s="67"/>
      <c r="T100" s="67"/>
      <c r="U100" s="67"/>
      <c r="V100" s="72"/>
    </row>
    <row r="101" spans="2:22" x14ac:dyDescent="0.2">
      <c r="B101" s="36">
        <v>7</v>
      </c>
      <c r="C101" s="6">
        <v>8</v>
      </c>
      <c r="D101" s="6">
        <v>9</v>
      </c>
      <c r="E101" s="6">
        <v>10</v>
      </c>
      <c r="F101" s="6">
        <v>11</v>
      </c>
      <c r="G101" s="6">
        <v>12</v>
      </c>
      <c r="H101" s="59">
        <v>13</v>
      </c>
      <c r="I101" s="36">
        <v>6</v>
      </c>
      <c r="J101" s="6">
        <v>7</v>
      </c>
      <c r="K101" s="6">
        <v>8</v>
      </c>
      <c r="L101" s="6">
        <v>9</v>
      </c>
      <c r="M101" s="6">
        <v>10</v>
      </c>
      <c r="N101" s="6">
        <v>11</v>
      </c>
      <c r="O101" s="37">
        <v>12</v>
      </c>
      <c r="P101" s="66">
        <v>5</v>
      </c>
      <c r="Q101" s="67">
        <v>6</v>
      </c>
      <c r="R101" s="67">
        <v>7</v>
      </c>
      <c r="S101" s="67">
        <v>8</v>
      </c>
      <c r="T101" s="67">
        <v>9</v>
      </c>
      <c r="U101" s="67">
        <v>10</v>
      </c>
      <c r="V101" s="68">
        <v>11</v>
      </c>
    </row>
    <row r="102" spans="2:22" x14ac:dyDescent="0.2">
      <c r="B102" s="181" t="s">
        <v>28</v>
      </c>
      <c r="C102" s="150"/>
      <c r="D102" s="150"/>
      <c r="E102" s="150"/>
      <c r="F102" s="150"/>
      <c r="G102" s="87"/>
      <c r="H102" s="88"/>
      <c r="I102" s="38"/>
      <c r="J102" s="35"/>
      <c r="K102" s="35"/>
      <c r="L102" s="35"/>
      <c r="M102" s="35"/>
      <c r="N102" s="123" t="s">
        <v>323</v>
      </c>
      <c r="O102" s="124" t="s">
        <v>324</v>
      </c>
      <c r="P102" s="66"/>
      <c r="Q102" s="67"/>
      <c r="R102" s="67"/>
      <c r="S102" s="67"/>
      <c r="T102" s="67"/>
      <c r="U102" s="71"/>
      <c r="V102" s="72"/>
    </row>
    <row r="103" spans="2:22" x14ac:dyDescent="0.2">
      <c r="B103" s="36">
        <v>14</v>
      </c>
      <c r="C103" s="6">
        <v>15</v>
      </c>
      <c r="D103" s="6">
        <v>16</v>
      </c>
      <c r="E103" s="6">
        <v>17</v>
      </c>
      <c r="F103" s="6">
        <v>18</v>
      </c>
      <c r="G103" s="6">
        <v>19</v>
      </c>
      <c r="H103" s="59">
        <v>20</v>
      </c>
      <c r="I103" s="36">
        <v>17</v>
      </c>
      <c r="J103" s="6">
        <v>14</v>
      </c>
      <c r="K103" s="6">
        <v>15</v>
      </c>
      <c r="L103" s="6">
        <v>16</v>
      </c>
      <c r="M103" s="6">
        <v>17</v>
      </c>
      <c r="N103" s="6">
        <v>18</v>
      </c>
      <c r="O103" s="37">
        <v>19</v>
      </c>
      <c r="P103" s="115">
        <v>12</v>
      </c>
      <c r="Q103" s="67">
        <v>13</v>
      </c>
      <c r="R103" s="67">
        <v>14</v>
      </c>
      <c r="S103" s="67">
        <v>15</v>
      </c>
      <c r="T103" s="67">
        <v>16</v>
      </c>
      <c r="U103" s="67">
        <v>17</v>
      </c>
      <c r="V103" s="68">
        <v>18</v>
      </c>
    </row>
    <row r="104" spans="2:22" x14ac:dyDescent="0.2">
      <c r="B104" s="38"/>
      <c r="C104" s="35"/>
      <c r="D104" s="35"/>
      <c r="E104" s="35"/>
      <c r="F104" s="35"/>
      <c r="G104" s="145" t="s">
        <v>51</v>
      </c>
      <c r="H104" s="146"/>
      <c r="I104" s="73" t="s">
        <v>324</v>
      </c>
      <c r="J104" s="35"/>
      <c r="K104" s="35"/>
      <c r="L104" s="35"/>
      <c r="M104" s="35"/>
      <c r="N104" s="170" t="s">
        <v>99</v>
      </c>
      <c r="O104" s="172"/>
      <c r="P104" s="66"/>
      <c r="Q104" s="67"/>
      <c r="R104" s="67"/>
      <c r="S104" s="67"/>
      <c r="T104" s="67"/>
      <c r="U104" s="71"/>
      <c r="V104" s="72"/>
    </row>
    <row r="105" spans="2:22" x14ac:dyDescent="0.2">
      <c r="B105" s="36">
        <v>21</v>
      </c>
      <c r="C105" s="6">
        <v>22</v>
      </c>
      <c r="D105" s="6">
        <v>23</v>
      </c>
      <c r="E105" s="6">
        <v>24</v>
      </c>
      <c r="F105" s="6">
        <v>25</v>
      </c>
      <c r="G105" s="6">
        <v>26</v>
      </c>
      <c r="H105" s="59">
        <v>27</v>
      </c>
      <c r="I105" s="36">
        <v>20</v>
      </c>
      <c r="J105" s="6">
        <v>21</v>
      </c>
      <c r="K105" s="6">
        <v>22</v>
      </c>
      <c r="L105" s="6">
        <v>23</v>
      </c>
      <c r="M105" s="6">
        <v>24</v>
      </c>
      <c r="N105" s="6">
        <v>25</v>
      </c>
      <c r="O105" s="37">
        <v>26</v>
      </c>
      <c r="P105" s="66">
        <v>19</v>
      </c>
      <c r="Q105" s="67">
        <v>20</v>
      </c>
      <c r="R105" s="67">
        <v>21</v>
      </c>
      <c r="S105" s="67">
        <v>22</v>
      </c>
      <c r="T105" s="67">
        <v>23</v>
      </c>
      <c r="U105" s="67">
        <v>24</v>
      </c>
      <c r="V105" s="68">
        <v>25</v>
      </c>
    </row>
    <row r="106" spans="2:22" x14ac:dyDescent="0.2">
      <c r="B106" s="38"/>
      <c r="C106" s="35"/>
      <c r="D106" s="35"/>
      <c r="E106" s="35"/>
      <c r="F106" s="35"/>
      <c r="G106" s="177" t="s">
        <v>57</v>
      </c>
      <c r="H106" s="178"/>
      <c r="I106" s="38"/>
      <c r="J106" s="35"/>
      <c r="K106" s="35"/>
      <c r="L106" s="35"/>
      <c r="M106" s="35"/>
      <c r="N106" s="87"/>
      <c r="O106" s="88"/>
      <c r="P106" s="66"/>
      <c r="Q106" s="67"/>
      <c r="R106" s="67"/>
      <c r="S106" s="67"/>
      <c r="T106" s="67"/>
      <c r="U106" s="67"/>
      <c r="V106" s="68"/>
    </row>
    <row r="107" spans="2:22" x14ac:dyDescent="0.2">
      <c r="B107" s="36">
        <v>28</v>
      </c>
      <c r="C107" s="6">
        <v>29</v>
      </c>
      <c r="D107" s="6">
        <v>30</v>
      </c>
      <c r="E107" s="6">
        <v>31</v>
      </c>
      <c r="F107" s="6">
        <v>1</v>
      </c>
      <c r="G107" s="6">
        <v>2</v>
      </c>
      <c r="H107" s="59">
        <v>3</v>
      </c>
      <c r="I107" s="36">
        <v>27</v>
      </c>
      <c r="J107" s="6">
        <v>28</v>
      </c>
      <c r="K107" s="6">
        <v>29</v>
      </c>
      <c r="L107" s="6">
        <v>30</v>
      </c>
      <c r="M107" s="6">
        <v>31</v>
      </c>
      <c r="N107" s="6">
        <v>1</v>
      </c>
      <c r="O107" s="37">
        <v>2</v>
      </c>
      <c r="P107" s="66">
        <v>26</v>
      </c>
      <c r="Q107" s="83">
        <v>27</v>
      </c>
      <c r="R107" s="83">
        <v>28</v>
      </c>
      <c r="S107" s="83">
        <v>29</v>
      </c>
      <c r="T107" s="83">
        <v>30</v>
      </c>
      <c r="U107" s="83">
        <v>31</v>
      </c>
      <c r="V107" s="84">
        <v>1</v>
      </c>
    </row>
    <row r="108" spans="2:22" ht="16" thickBot="1" x14ac:dyDescent="0.25">
      <c r="B108" s="38"/>
      <c r="C108" s="35"/>
      <c r="D108" s="35"/>
      <c r="E108" s="35"/>
      <c r="F108" s="35"/>
      <c r="G108" s="145" t="s">
        <v>73</v>
      </c>
      <c r="H108" s="146"/>
      <c r="I108" s="38"/>
      <c r="J108" s="35"/>
      <c r="K108" s="35"/>
      <c r="L108" s="35"/>
      <c r="M108" s="35"/>
      <c r="N108" s="161" t="s">
        <v>331</v>
      </c>
      <c r="O108" s="162"/>
      <c r="P108" s="66"/>
      <c r="Q108" s="67"/>
      <c r="R108" s="67"/>
      <c r="S108" s="67"/>
      <c r="T108" s="67"/>
      <c r="U108" s="67"/>
      <c r="V108" s="72"/>
    </row>
    <row r="109" spans="2:22" ht="16" thickBot="1" x14ac:dyDescent="0.25">
      <c r="B109" s="142" t="s">
        <v>9</v>
      </c>
      <c r="C109" s="143"/>
      <c r="D109" s="143"/>
      <c r="E109" s="143"/>
      <c r="F109" s="143"/>
      <c r="G109" s="143"/>
      <c r="H109" s="144"/>
      <c r="I109" s="142" t="s">
        <v>9</v>
      </c>
      <c r="J109" s="143"/>
      <c r="K109" s="143"/>
      <c r="L109" s="143"/>
      <c r="M109" s="143"/>
      <c r="N109" s="143"/>
      <c r="O109" s="144"/>
      <c r="P109" s="142" t="s">
        <v>9</v>
      </c>
      <c r="Q109" s="143"/>
      <c r="R109" s="143"/>
      <c r="S109" s="143"/>
      <c r="T109" s="143"/>
      <c r="U109" s="143"/>
      <c r="V109" s="144"/>
    </row>
    <row r="110" spans="2:22" x14ac:dyDescent="0.2">
      <c r="B110" s="36">
        <v>4</v>
      </c>
      <c r="C110" s="6">
        <v>5</v>
      </c>
      <c r="D110" s="6">
        <v>6</v>
      </c>
      <c r="E110" s="6">
        <v>7</v>
      </c>
      <c r="F110" s="6">
        <v>8</v>
      </c>
      <c r="G110" s="6">
        <v>9</v>
      </c>
      <c r="H110" s="59">
        <v>10</v>
      </c>
      <c r="I110" s="127">
        <v>3</v>
      </c>
      <c r="J110" s="120">
        <v>4</v>
      </c>
      <c r="K110" s="120">
        <v>5</v>
      </c>
      <c r="L110" s="120">
        <v>6</v>
      </c>
      <c r="M110" s="120">
        <v>7</v>
      </c>
      <c r="N110" s="120">
        <v>8</v>
      </c>
      <c r="O110" s="128">
        <v>9</v>
      </c>
      <c r="P110" s="118">
        <v>2</v>
      </c>
      <c r="Q110" s="96">
        <v>3</v>
      </c>
      <c r="R110" s="96">
        <v>4</v>
      </c>
      <c r="S110" s="96">
        <v>5</v>
      </c>
      <c r="T110" s="96">
        <v>6</v>
      </c>
      <c r="U110" s="96">
        <v>7</v>
      </c>
      <c r="V110" s="97">
        <v>8</v>
      </c>
    </row>
    <row r="111" spans="2:22" x14ac:dyDescent="0.2">
      <c r="B111" s="38"/>
      <c r="C111" s="35"/>
      <c r="D111" s="35"/>
      <c r="E111" s="35"/>
      <c r="F111" s="35"/>
      <c r="G111" s="35"/>
      <c r="H111" s="61" t="s">
        <v>58</v>
      </c>
      <c r="I111" s="40" t="s">
        <v>143</v>
      </c>
      <c r="J111" s="35"/>
      <c r="K111" s="35"/>
      <c r="L111" s="35"/>
      <c r="M111" s="35"/>
      <c r="N111" s="87"/>
      <c r="O111" s="88"/>
      <c r="P111" s="66"/>
      <c r="Q111" s="67"/>
      <c r="R111" s="67"/>
      <c r="S111" s="67"/>
      <c r="T111" s="67"/>
      <c r="U111" s="67"/>
      <c r="V111" s="72"/>
    </row>
    <row r="112" spans="2:22" x14ac:dyDescent="0.2">
      <c r="B112" s="36">
        <v>11</v>
      </c>
      <c r="C112" s="6">
        <v>12</v>
      </c>
      <c r="D112" s="6">
        <v>13</v>
      </c>
      <c r="E112" s="6">
        <v>14</v>
      </c>
      <c r="F112" s="6">
        <v>15</v>
      </c>
      <c r="G112" s="6">
        <v>16</v>
      </c>
      <c r="H112" s="59">
        <v>17</v>
      </c>
      <c r="I112" s="36">
        <v>10</v>
      </c>
      <c r="J112" s="6">
        <v>11</v>
      </c>
      <c r="K112" s="6">
        <v>12</v>
      </c>
      <c r="L112" s="6">
        <v>13</v>
      </c>
      <c r="M112" s="6">
        <v>14</v>
      </c>
      <c r="N112" s="6">
        <v>15</v>
      </c>
      <c r="O112" s="37">
        <v>16</v>
      </c>
      <c r="P112" s="66">
        <v>9</v>
      </c>
      <c r="Q112" s="67">
        <v>10</v>
      </c>
      <c r="R112" s="67">
        <v>11</v>
      </c>
      <c r="S112" s="67">
        <v>12</v>
      </c>
      <c r="T112" s="67">
        <v>13</v>
      </c>
      <c r="U112" s="67">
        <v>14</v>
      </c>
      <c r="V112" s="68">
        <v>15</v>
      </c>
    </row>
    <row r="113" spans="2:22" x14ac:dyDescent="0.2">
      <c r="B113" s="40" t="s">
        <v>58</v>
      </c>
      <c r="C113" s="35"/>
      <c r="D113" s="35"/>
      <c r="E113" s="35"/>
      <c r="F113" s="35"/>
      <c r="G113" s="87"/>
      <c r="H113" s="126"/>
      <c r="I113" s="38"/>
      <c r="J113" s="35"/>
      <c r="K113" s="35"/>
      <c r="L113" s="35"/>
      <c r="M113" s="35"/>
      <c r="N113" s="170" t="s">
        <v>300</v>
      </c>
      <c r="O113" s="171"/>
      <c r="P113" s="66"/>
      <c r="Q113" s="67"/>
      <c r="R113" s="67"/>
      <c r="S113" s="67"/>
      <c r="T113" s="67"/>
      <c r="U113" s="71"/>
      <c r="V113" s="72"/>
    </row>
    <row r="114" spans="2:22" x14ac:dyDescent="0.2">
      <c r="B114" s="36">
        <v>18</v>
      </c>
      <c r="C114" s="6">
        <v>19</v>
      </c>
      <c r="D114" s="6">
        <v>20</v>
      </c>
      <c r="E114" s="6">
        <v>21</v>
      </c>
      <c r="F114" s="6">
        <v>22</v>
      </c>
      <c r="G114" s="6">
        <v>23</v>
      </c>
      <c r="H114" s="59">
        <v>24</v>
      </c>
      <c r="I114" s="36">
        <v>17</v>
      </c>
      <c r="J114" s="6">
        <v>18</v>
      </c>
      <c r="K114" s="6">
        <v>19</v>
      </c>
      <c r="L114" s="6">
        <v>20</v>
      </c>
      <c r="M114" s="6">
        <v>21</v>
      </c>
      <c r="N114" s="6">
        <v>22</v>
      </c>
      <c r="O114" s="37">
        <v>23</v>
      </c>
      <c r="P114" s="115">
        <v>16</v>
      </c>
      <c r="Q114" s="67">
        <v>17</v>
      </c>
      <c r="R114" s="67">
        <v>18</v>
      </c>
      <c r="S114" s="67">
        <v>19</v>
      </c>
      <c r="T114" s="67">
        <v>20</v>
      </c>
      <c r="U114" s="67">
        <v>21</v>
      </c>
      <c r="V114" s="68">
        <v>22</v>
      </c>
    </row>
    <row r="115" spans="2:22" x14ac:dyDescent="0.2">
      <c r="B115" s="38"/>
      <c r="C115" s="35"/>
      <c r="D115" s="35"/>
      <c r="E115" s="35"/>
      <c r="F115" s="152" t="s">
        <v>90</v>
      </c>
      <c r="G115" s="152"/>
      <c r="H115" s="62"/>
      <c r="I115" s="73" t="s">
        <v>300</v>
      </c>
      <c r="J115" s="35"/>
      <c r="K115" s="35"/>
      <c r="L115" s="35"/>
      <c r="M115" s="35"/>
      <c r="N115" s="170" t="s">
        <v>348</v>
      </c>
      <c r="O115" s="171"/>
      <c r="P115" s="66"/>
      <c r="Q115" s="67"/>
      <c r="R115" s="67"/>
      <c r="S115" s="67"/>
      <c r="T115" s="67"/>
      <c r="U115" s="71"/>
      <c r="V115" s="72"/>
    </row>
    <row r="116" spans="2:22" x14ac:dyDescent="0.2">
      <c r="B116" s="36">
        <v>25</v>
      </c>
      <c r="C116" s="6">
        <v>26</v>
      </c>
      <c r="D116" s="6">
        <v>27</v>
      </c>
      <c r="E116" s="6">
        <v>28</v>
      </c>
      <c r="F116" s="6">
        <v>29</v>
      </c>
      <c r="G116" s="6">
        <v>30</v>
      </c>
      <c r="H116" s="59">
        <v>1</v>
      </c>
      <c r="I116" s="36">
        <v>24</v>
      </c>
      <c r="J116" s="6">
        <v>25</v>
      </c>
      <c r="K116" s="6">
        <v>26</v>
      </c>
      <c r="L116" s="6">
        <v>27</v>
      </c>
      <c r="M116" s="6">
        <v>28</v>
      </c>
      <c r="N116" s="6">
        <v>29</v>
      </c>
      <c r="O116" s="37">
        <v>30</v>
      </c>
      <c r="P116" s="66">
        <v>23</v>
      </c>
      <c r="Q116" s="67">
        <v>24</v>
      </c>
      <c r="R116" s="67">
        <v>25</v>
      </c>
      <c r="S116" s="67">
        <v>26</v>
      </c>
      <c r="T116" s="67">
        <v>27</v>
      </c>
      <c r="U116" s="67">
        <v>28</v>
      </c>
      <c r="V116" s="68">
        <v>29</v>
      </c>
    </row>
    <row r="117" spans="2:22" ht="16" thickBot="1" x14ac:dyDescent="0.25">
      <c r="B117" s="38"/>
      <c r="C117" s="35"/>
      <c r="D117" s="35"/>
      <c r="E117" s="35"/>
      <c r="F117" s="35"/>
      <c r="G117" s="145" t="s">
        <v>29</v>
      </c>
      <c r="H117" s="146"/>
      <c r="I117" s="38"/>
      <c r="J117" s="35"/>
      <c r="K117" s="35"/>
      <c r="L117" s="35"/>
      <c r="M117" s="152" t="s">
        <v>350</v>
      </c>
      <c r="N117" s="152"/>
      <c r="O117" s="130"/>
      <c r="P117" s="69"/>
      <c r="Q117" s="70"/>
      <c r="R117" s="70"/>
      <c r="S117" s="70"/>
      <c r="T117" s="70"/>
      <c r="U117" s="70"/>
      <c r="V117" s="81"/>
    </row>
    <row r="118" spans="2:22" ht="16" thickBot="1" x14ac:dyDescent="0.25">
      <c r="B118" s="142" t="s">
        <v>10</v>
      </c>
      <c r="C118" s="143"/>
      <c r="D118" s="143"/>
      <c r="E118" s="143"/>
      <c r="F118" s="143"/>
      <c r="G118" s="143"/>
      <c r="H118" s="144"/>
      <c r="I118" s="142" t="s">
        <v>10</v>
      </c>
      <c r="J118" s="143"/>
      <c r="K118" s="143"/>
      <c r="L118" s="143"/>
      <c r="M118" s="143"/>
      <c r="N118" s="143"/>
      <c r="O118" s="144"/>
      <c r="P118" s="189" t="s">
        <v>10</v>
      </c>
      <c r="Q118" s="190"/>
      <c r="R118" s="190"/>
      <c r="S118" s="190"/>
      <c r="T118" s="190"/>
      <c r="U118" s="190"/>
      <c r="V118" s="191"/>
    </row>
    <row r="119" spans="2:22" x14ac:dyDescent="0.2">
      <c r="B119" s="36">
        <v>2</v>
      </c>
      <c r="C119" s="6">
        <v>3</v>
      </c>
      <c r="D119" s="6">
        <v>4</v>
      </c>
      <c r="E119" s="6">
        <v>5</v>
      </c>
      <c r="F119" s="6">
        <v>6</v>
      </c>
      <c r="G119" s="6">
        <v>7</v>
      </c>
      <c r="H119" s="59">
        <v>8</v>
      </c>
      <c r="I119" s="127">
        <v>1</v>
      </c>
      <c r="J119" s="120">
        <v>2</v>
      </c>
      <c r="K119" s="120">
        <v>3</v>
      </c>
      <c r="L119" s="120">
        <v>4</v>
      </c>
      <c r="M119" s="120">
        <v>5</v>
      </c>
      <c r="N119" s="120">
        <v>6</v>
      </c>
      <c r="O119" s="128">
        <v>7</v>
      </c>
      <c r="P119" s="95">
        <v>30</v>
      </c>
      <c r="Q119" s="96">
        <v>31</v>
      </c>
      <c r="R119" s="96">
        <v>1</v>
      </c>
      <c r="S119" s="96">
        <v>2</v>
      </c>
      <c r="T119" s="96">
        <v>3</v>
      </c>
      <c r="U119" s="96">
        <v>4</v>
      </c>
      <c r="V119" s="97">
        <v>5</v>
      </c>
    </row>
    <row r="120" spans="2:22" x14ac:dyDescent="0.2">
      <c r="B120" s="38"/>
      <c r="C120" s="35"/>
      <c r="D120" s="35"/>
      <c r="E120" s="35"/>
      <c r="F120" s="35"/>
      <c r="G120" s="157" t="s">
        <v>92</v>
      </c>
      <c r="H120" s="164"/>
      <c r="I120" s="38"/>
      <c r="J120" s="35"/>
      <c r="K120" s="35"/>
      <c r="L120" s="35"/>
      <c r="M120" s="35"/>
      <c r="N120" s="170" t="s">
        <v>306</v>
      </c>
      <c r="O120" s="171"/>
      <c r="P120" s="66"/>
      <c r="Q120" s="67"/>
      <c r="R120" s="67"/>
      <c r="S120" s="67"/>
      <c r="T120" s="67"/>
      <c r="U120" s="67"/>
      <c r="V120" s="68"/>
    </row>
    <row r="121" spans="2:22" x14ac:dyDescent="0.2">
      <c r="B121" s="36">
        <v>9</v>
      </c>
      <c r="C121" s="6">
        <v>10</v>
      </c>
      <c r="D121" s="6">
        <v>11</v>
      </c>
      <c r="E121" s="6">
        <v>12</v>
      </c>
      <c r="F121" s="6">
        <v>13</v>
      </c>
      <c r="G121" s="6">
        <v>14</v>
      </c>
      <c r="H121" s="59">
        <v>15</v>
      </c>
      <c r="I121" s="36">
        <v>8</v>
      </c>
      <c r="J121" s="6">
        <v>9</v>
      </c>
      <c r="K121" s="6">
        <v>10</v>
      </c>
      <c r="L121" s="6">
        <v>11</v>
      </c>
      <c r="M121" s="6">
        <v>12</v>
      </c>
      <c r="N121" s="6">
        <v>13</v>
      </c>
      <c r="O121" s="37">
        <v>14</v>
      </c>
      <c r="P121" s="66">
        <v>6</v>
      </c>
      <c r="Q121" s="67">
        <v>7</v>
      </c>
      <c r="R121" s="116">
        <v>8</v>
      </c>
      <c r="S121" s="67">
        <v>9</v>
      </c>
      <c r="T121" s="67">
        <v>10</v>
      </c>
      <c r="U121" s="67">
        <v>11</v>
      </c>
      <c r="V121" s="68">
        <v>12</v>
      </c>
    </row>
    <row r="122" spans="2:22" x14ac:dyDescent="0.2">
      <c r="B122" s="38"/>
      <c r="C122" s="179" t="s">
        <v>118</v>
      </c>
      <c r="D122" s="180"/>
      <c r="E122" s="35"/>
      <c r="F122" s="54" t="s">
        <v>114</v>
      </c>
      <c r="G122" s="145" t="s">
        <v>72</v>
      </c>
      <c r="H122" s="146"/>
      <c r="I122" s="73" t="s">
        <v>307</v>
      </c>
      <c r="J122" s="35"/>
      <c r="K122" s="35"/>
      <c r="L122" s="35"/>
      <c r="M122" s="35"/>
      <c r="N122" s="157" t="s">
        <v>330</v>
      </c>
      <c r="O122" s="158"/>
      <c r="P122" s="66"/>
      <c r="Q122" s="67"/>
      <c r="R122" s="67"/>
      <c r="S122" s="67"/>
      <c r="T122" s="67"/>
      <c r="U122" s="67"/>
      <c r="V122" s="68"/>
    </row>
    <row r="123" spans="2:22" x14ac:dyDescent="0.2">
      <c r="B123" s="36">
        <v>16</v>
      </c>
      <c r="C123" s="6">
        <v>17</v>
      </c>
      <c r="D123" s="6">
        <v>18</v>
      </c>
      <c r="E123" s="36">
        <v>19</v>
      </c>
      <c r="F123" s="6">
        <v>20</v>
      </c>
      <c r="G123" s="6">
        <v>21</v>
      </c>
      <c r="H123" s="59">
        <v>22</v>
      </c>
      <c r="I123" s="36">
        <v>15</v>
      </c>
      <c r="J123" s="6">
        <v>16</v>
      </c>
      <c r="K123" s="6">
        <v>17</v>
      </c>
      <c r="L123" s="6">
        <v>18</v>
      </c>
      <c r="M123" s="6">
        <v>19</v>
      </c>
      <c r="N123" s="6">
        <v>20</v>
      </c>
      <c r="O123" s="37">
        <v>21</v>
      </c>
      <c r="P123" s="66">
        <v>13</v>
      </c>
      <c r="Q123" s="67">
        <v>14</v>
      </c>
      <c r="R123" s="67">
        <v>15</v>
      </c>
      <c r="S123" s="67">
        <v>16</v>
      </c>
      <c r="T123" s="67">
        <v>17</v>
      </c>
      <c r="U123" s="67">
        <v>18</v>
      </c>
      <c r="V123" s="68">
        <v>19</v>
      </c>
    </row>
    <row r="124" spans="2:22" x14ac:dyDescent="0.2">
      <c r="B124" s="38"/>
      <c r="C124" s="35"/>
      <c r="D124" s="53" t="s">
        <v>115</v>
      </c>
      <c r="E124" s="35"/>
      <c r="F124" s="35"/>
      <c r="G124" s="35"/>
      <c r="H124" s="60" t="s">
        <v>119</v>
      </c>
      <c r="I124" s="38"/>
      <c r="J124" s="35"/>
      <c r="K124" s="35"/>
      <c r="L124" s="35"/>
      <c r="M124" s="35"/>
      <c r="N124" s="157" t="s">
        <v>332</v>
      </c>
      <c r="O124" s="158"/>
      <c r="P124" s="66"/>
      <c r="Q124" s="67"/>
      <c r="R124" s="67"/>
      <c r="S124" s="67"/>
      <c r="T124" s="67"/>
      <c r="U124" s="67"/>
      <c r="V124" s="68"/>
    </row>
    <row r="125" spans="2:22" x14ac:dyDescent="0.2">
      <c r="B125" s="36">
        <v>23</v>
      </c>
      <c r="C125" s="6">
        <v>24</v>
      </c>
      <c r="D125" s="6">
        <v>25</v>
      </c>
      <c r="E125" s="6">
        <v>26</v>
      </c>
      <c r="F125" s="6">
        <v>27</v>
      </c>
      <c r="G125" s="6">
        <v>28</v>
      </c>
      <c r="H125" s="59">
        <v>29</v>
      </c>
      <c r="I125" s="36">
        <v>22</v>
      </c>
      <c r="J125" s="6">
        <v>23</v>
      </c>
      <c r="K125" s="6">
        <v>24</v>
      </c>
      <c r="L125" s="6">
        <v>25</v>
      </c>
      <c r="M125" s="6">
        <v>26</v>
      </c>
      <c r="N125" s="6">
        <v>27</v>
      </c>
      <c r="O125" s="37">
        <v>28</v>
      </c>
      <c r="P125" s="66">
        <v>20</v>
      </c>
      <c r="Q125" s="67">
        <v>21</v>
      </c>
      <c r="R125" s="67">
        <v>22</v>
      </c>
      <c r="S125" s="67">
        <v>23</v>
      </c>
      <c r="T125" s="67">
        <v>24</v>
      </c>
      <c r="U125" s="116">
        <v>25</v>
      </c>
      <c r="V125" s="68">
        <v>26</v>
      </c>
    </row>
    <row r="126" spans="2:22" ht="16" thickBot="1" x14ac:dyDescent="0.25">
      <c r="B126" s="41" t="s">
        <v>95</v>
      </c>
      <c r="C126" s="43"/>
      <c r="D126" s="43"/>
      <c r="E126" s="161" t="s">
        <v>93</v>
      </c>
      <c r="F126" s="165"/>
      <c r="G126" s="165"/>
      <c r="H126" s="165"/>
      <c r="I126" s="132"/>
      <c r="J126" s="161" t="s">
        <v>366</v>
      </c>
      <c r="K126" s="165"/>
      <c r="L126" s="166"/>
      <c r="M126" s="43"/>
      <c r="N126" s="133"/>
      <c r="O126" s="134"/>
      <c r="P126" s="66"/>
      <c r="Q126" s="67"/>
      <c r="R126" s="67"/>
      <c r="S126" s="67"/>
      <c r="T126" s="67"/>
      <c r="U126" s="67"/>
      <c r="V126" s="68"/>
    </row>
    <row r="127" spans="2:22" x14ac:dyDescent="0.2">
      <c r="P127" s="66">
        <v>27</v>
      </c>
      <c r="Q127" s="67">
        <v>28</v>
      </c>
      <c r="R127" s="67">
        <v>29</v>
      </c>
      <c r="S127" s="67">
        <v>30</v>
      </c>
      <c r="T127" s="67">
        <v>31</v>
      </c>
      <c r="U127" s="67">
        <v>1</v>
      </c>
      <c r="V127" s="68">
        <v>2</v>
      </c>
    </row>
    <row r="128" spans="2:22" ht="16" thickBot="1" x14ac:dyDescent="0.25">
      <c r="P128" s="69"/>
      <c r="Q128" s="70"/>
      <c r="R128" s="70"/>
      <c r="S128" s="70"/>
      <c r="T128" s="70"/>
      <c r="U128" s="70"/>
      <c r="V128" s="81"/>
    </row>
    <row r="134" spans="10:10" x14ac:dyDescent="0.2">
      <c r="J134" s="125"/>
    </row>
  </sheetData>
  <mergeCells count="118">
    <mergeCell ref="U37:V37"/>
    <mergeCell ref="U33:V33"/>
    <mergeCell ref="U44:V44"/>
    <mergeCell ref="U26:V26"/>
    <mergeCell ref="P109:V109"/>
    <mergeCell ref="P118:V118"/>
    <mergeCell ref="I89:O89"/>
    <mergeCell ref="N104:O104"/>
    <mergeCell ref="N97:O97"/>
    <mergeCell ref="N93:O93"/>
    <mergeCell ref="N91:O91"/>
    <mergeCell ref="N95:O95"/>
    <mergeCell ref="N113:O113"/>
    <mergeCell ref="I98:O98"/>
    <mergeCell ref="N108:O108"/>
    <mergeCell ref="N115:O115"/>
    <mergeCell ref="M117:N117"/>
    <mergeCell ref="P80:V80"/>
    <mergeCell ref="P89:V89"/>
    <mergeCell ref="P98:V98"/>
    <mergeCell ref="N86:O86"/>
    <mergeCell ref="I49:O49"/>
    <mergeCell ref="K51:L51"/>
    <mergeCell ref="N62:O62"/>
    <mergeCell ref="L46:O46"/>
    <mergeCell ref="N51:O51"/>
    <mergeCell ref="P60:V60"/>
    <mergeCell ref="P69:V69"/>
    <mergeCell ref="N77:O77"/>
    <mergeCell ref="N53:O53"/>
    <mergeCell ref="I82:J82"/>
    <mergeCell ref="N82:O82"/>
    <mergeCell ref="L82:M82"/>
    <mergeCell ref="L64:O64"/>
    <mergeCell ref="P9:V9"/>
    <mergeCell ref="P11:V11"/>
    <mergeCell ref="P31:V31"/>
    <mergeCell ref="P40:V40"/>
    <mergeCell ref="P49:V49"/>
    <mergeCell ref="P22:V22"/>
    <mergeCell ref="P13:T13"/>
    <mergeCell ref="N26:O26"/>
    <mergeCell ref="N28:O28"/>
    <mergeCell ref="N37:O37"/>
    <mergeCell ref="N35:O35"/>
    <mergeCell ref="N39:O39"/>
    <mergeCell ref="I40:O40"/>
    <mergeCell ref="U13:V13"/>
    <mergeCell ref="Q15:V15"/>
    <mergeCell ref="U17:V17"/>
    <mergeCell ref="U19:V19"/>
    <mergeCell ref="U24:V24"/>
    <mergeCell ref="U21:V21"/>
    <mergeCell ref="P19:Q19"/>
    <mergeCell ref="S28:T28"/>
    <mergeCell ref="U30:V30"/>
    <mergeCell ref="I31:O31"/>
    <mergeCell ref="I48:O48"/>
    <mergeCell ref="B49:H49"/>
    <mergeCell ref="G120:H120"/>
    <mergeCell ref="G122:H122"/>
    <mergeCell ref="G95:H95"/>
    <mergeCell ref="B109:H109"/>
    <mergeCell ref="G117:H117"/>
    <mergeCell ref="B118:H118"/>
    <mergeCell ref="G104:H104"/>
    <mergeCell ref="G106:H106"/>
    <mergeCell ref="F115:G115"/>
    <mergeCell ref="G108:H108"/>
    <mergeCell ref="B89:H89"/>
    <mergeCell ref="G100:H100"/>
    <mergeCell ref="C122:D122"/>
    <mergeCell ref="B98:H98"/>
    <mergeCell ref="B102:F102"/>
    <mergeCell ref="N122:O122"/>
    <mergeCell ref="J126:L126"/>
    <mergeCell ref="E126:H126"/>
    <mergeCell ref="B80:H80"/>
    <mergeCell ref="B69:H69"/>
    <mergeCell ref="B60:H60"/>
    <mergeCell ref="N120:O120"/>
    <mergeCell ref="I118:O118"/>
    <mergeCell ref="I109:O109"/>
    <mergeCell ref="N88:O88"/>
    <mergeCell ref="N124:O124"/>
    <mergeCell ref="N84:O84"/>
    <mergeCell ref="I80:O80"/>
    <mergeCell ref="N66:O66"/>
    <mergeCell ref="N79:O79"/>
    <mergeCell ref="N75:O75"/>
    <mergeCell ref="J77:K77"/>
    <mergeCell ref="I60:O60"/>
    <mergeCell ref="I69:O69"/>
    <mergeCell ref="M68:O68"/>
    <mergeCell ref="B9:H9"/>
    <mergeCell ref="B22:H22"/>
    <mergeCell ref="B11:H11"/>
    <mergeCell ref="G93:H93"/>
    <mergeCell ref="I9:O9"/>
    <mergeCell ref="I22:O22"/>
    <mergeCell ref="I11:O11"/>
    <mergeCell ref="N13:O13"/>
    <mergeCell ref="N15:O15"/>
    <mergeCell ref="N21:O21"/>
    <mergeCell ref="N17:O17"/>
    <mergeCell ref="J13:L13"/>
    <mergeCell ref="J17:L17"/>
    <mergeCell ref="N19:O19"/>
    <mergeCell ref="B40:H40"/>
    <mergeCell ref="N24:O24"/>
    <mergeCell ref="B31:H31"/>
    <mergeCell ref="N30:O30"/>
    <mergeCell ref="N73:O73"/>
    <mergeCell ref="J71:K71"/>
    <mergeCell ref="N71:O71"/>
    <mergeCell ref="N59:O59"/>
    <mergeCell ref="N57:O57"/>
    <mergeCell ref="M55:O5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O79"/>
  <sheetViews>
    <sheetView tabSelected="1" view="pageLayout" topLeftCell="A57" zoomScale="120" zoomScalePageLayoutView="120" workbookViewId="0">
      <selection activeCell="C66" sqref="C66"/>
    </sheetView>
  </sheetViews>
  <sheetFormatPr baseColWidth="10" defaultColWidth="8.83203125" defaultRowHeight="15" x14ac:dyDescent="0.2"/>
  <cols>
    <col min="1" max="1" width="8" customWidth="1"/>
    <col min="2" max="2" width="32.6640625" bestFit="1" customWidth="1"/>
    <col min="3" max="14" width="13" bestFit="1" customWidth="1"/>
    <col min="15" max="15" width="14" bestFit="1" customWidth="1"/>
  </cols>
  <sheetData>
    <row r="1" spans="1:15" ht="42" customHeight="1" collapsed="1" x14ac:dyDescent="0.45">
      <c r="A1" s="194" t="s">
        <v>127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</row>
    <row r="2" spans="1:15" ht="48" collapsed="1" x14ac:dyDescent="0.2">
      <c r="A2" s="113" t="s">
        <v>0</v>
      </c>
      <c r="B2" s="113" t="s">
        <v>1</v>
      </c>
      <c r="C2" s="113" t="s">
        <v>5</v>
      </c>
      <c r="D2" s="113" t="s">
        <v>78</v>
      </c>
      <c r="E2" s="113" t="s">
        <v>79</v>
      </c>
      <c r="F2" s="113" t="s">
        <v>80</v>
      </c>
      <c r="G2" s="113" t="s">
        <v>159</v>
      </c>
      <c r="H2" s="113" t="s">
        <v>191</v>
      </c>
      <c r="I2" s="113" t="s">
        <v>203</v>
      </c>
      <c r="J2" s="113" t="s">
        <v>204</v>
      </c>
      <c r="K2" s="113" t="s">
        <v>7</v>
      </c>
      <c r="L2" s="113" t="s">
        <v>8</v>
      </c>
      <c r="M2" s="113" t="s">
        <v>9</v>
      </c>
      <c r="N2" s="113" t="s">
        <v>10</v>
      </c>
      <c r="O2" s="113" t="s">
        <v>6</v>
      </c>
    </row>
    <row r="3" spans="1:15" s="1" customFormat="1" x14ac:dyDescent="0.2">
      <c r="A3" s="20"/>
      <c r="B3" s="20" t="s">
        <v>39</v>
      </c>
      <c r="C3" s="20"/>
      <c r="D3" s="20"/>
      <c r="E3" s="20"/>
      <c r="F3" s="20"/>
      <c r="G3" s="20"/>
      <c r="H3" s="20"/>
      <c r="I3" s="20"/>
      <c r="J3" s="21"/>
      <c r="K3" s="21">
        <f>+'Ingresos _ Egresos 2024'!E10</f>
        <v>3450000</v>
      </c>
      <c r="L3" s="21">
        <f>+'Ingresos _ Egresos 2024'!E26</f>
        <v>6150000</v>
      </c>
      <c r="M3" s="21">
        <f>+'Ingresos _ Egresos 2024'!E41</f>
        <v>4912598</v>
      </c>
      <c r="N3" s="21">
        <f>+'Ingresos _ Egresos 2024'!E55</f>
        <v>6099704.6699999999</v>
      </c>
      <c r="O3" s="21">
        <f t="shared" ref="O3:O22" si="0">SUM(K3:N3)</f>
        <v>20612302.670000002</v>
      </c>
    </row>
    <row r="4" spans="1:15" s="1" customFormat="1" x14ac:dyDescent="0.2">
      <c r="A4" s="20"/>
      <c r="B4" s="20" t="s">
        <v>138</v>
      </c>
      <c r="C4" s="20"/>
      <c r="D4" s="20"/>
      <c r="E4" s="20"/>
      <c r="F4" s="20"/>
      <c r="G4" s="20"/>
      <c r="H4" s="20"/>
      <c r="I4" s="20"/>
      <c r="J4" s="21"/>
      <c r="K4" s="21">
        <v>0</v>
      </c>
      <c r="L4" s="21">
        <v>0</v>
      </c>
      <c r="M4" s="21">
        <v>0</v>
      </c>
      <c r="N4" s="21">
        <v>0</v>
      </c>
      <c r="O4" s="21">
        <f t="shared" si="0"/>
        <v>0</v>
      </c>
    </row>
    <row r="5" spans="1:15" s="1" customFormat="1" x14ac:dyDescent="0.2">
      <c r="A5" s="22"/>
      <c r="B5" s="22" t="s">
        <v>17</v>
      </c>
      <c r="C5" s="22"/>
      <c r="D5" s="22"/>
      <c r="E5" s="22"/>
      <c r="F5" s="22"/>
      <c r="G5" s="22"/>
      <c r="H5" s="22"/>
      <c r="I5" s="22"/>
      <c r="J5" s="23"/>
      <c r="K5" s="23">
        <f>+'Ingresos _ Egresos 2024'!K10</f>
        <v>3403276.43</v>
      </c>
      <c r="L5" s="23">
        <f>+'Ingresos _ Egresos 2024'!K26</f>
        <v>5126730.12</v>
      </c>
      <c r="M5" s="23">
        <f>+'Ingresos _ Egresos 2024'!K41</f>
        <v>4892520.66</v>
      </c>
      <c r="N5" s="23">
        <f>+'Ingresos _ Egresos 2024'!K55</f>
        <v>6912673.1200000001</v>
      </c>
      <c r="O5" s="23">
        <f t="shared" si="0"/>
        <v>20335200.330000002</v>
      </c>
    </row>
    <row r="6" spans="1:15" s="4" customFormat="1" x14ac:dyDescent="0.2">
      <c r="A6" s="24"/>
      <c r="B6" s="25" t="s">
        <v>229</v>
      </c>
      <c r="C6" s="25"/>
      <c r="D6" s="25"/>
      <c r="E6" s="25"/>
      <c r="F6" s="25"/>
      <c r="G6" s="25"/>
      <c r="H6" s="25"/>
      <c r="I6" s="25"/>
      <c r="J6" s="27"/>
      <c r="K6" s="89">
        <v>140000</v>
      </c>
      <c r="L6" s="89">
        <f>960000+560000+180000</f>
        <v>1700000</v>
      </c>
      <c r="M6" s="89"/>
      <c r="N6" s="89">
        <v>600000</v>
      </c>
      <c r="O6" s="89">
        <f t="shared" si="0"/>
        <v>2440000</v>
      </c>
    </row>
    <row r="7" spans="1:15" s="1" customFormat="1" x14ac:dyDescent="0.2">
      <c r="A7" s="24"/>
      <c r="B7" s="25" t="s">
        <v>19</v>
      </c>
      <c r="C7" s="25"/>
      <c r="D7" s="25"/>
      <c r="E7" s="25"/>
      <c r="F7" s="25"/>
      <c r="G7" s="25"/>
      <c r="H7" s="25"/>
      <c r="I7" s="25"/>
      <c r="J7" s="27"/>
      <c r="K7" s="89">
        <f>700000+700000</f>
        <v>1400000</v>
      </c>
      <c r="L7" s="89">
        <f>700000+700000</f>
        <v>1400000</v>
      </c>
      <c r="M7" s="89">
        <f>700000+700000</f>
        <v>1400000</v>
      </c>
      <c r="N7" s="89">
        <f>700000+700000+2968000</f>
        <v>4368000</v>
      </c>
      <c r="O7" s="89">
        <f t="shared" si="0"/>
        <v>8568000</v>
      </c>
    </row>
    <row r="8" spans="1:15" s="1" customFormat="1" x14ac:dyDescent="0.2">
      <c r="A8" s="25"/>
      <c r="B8" s="25" t="s">
        <v>20</v>
      </c>
      <c r="C8" s="25"/>
      <c r="D8" s="25"/>
      <c r="E8" s="25"/>
      <c r="F8" s="25"/>
      <c r="G8" s="25"/>
      <c r="H8" s="25"/>
      <c r="I8" s="25"/>
      <c r="J8" s="27"/>
      <c r="K8" s="89"/>
      <c r="L8" s="89">
        <f>400000+400000</f>
        <v>800000</v>
      </c>
      <c r="M8" s="89">
        <v>400000</v>
      </c>
      <c r="N8" s="89">
        <v>400000</v>
      </c>
      <c r="O8" s="89">
        <f t="shared" si="0"/>
        <v>1600000</v>
      </c>
    </row>
    <row r="9" spans="1:15" s="1" customFormat="1" x14ac:dyDescent="0.2">
      <c r="A9" s="25"/>
      <c r="B9" s="25" t="s">
        <v>18</v>
      </c>
      <c r="C9" s="25"/>
      <c r="D9" s="25"/>
      <c r="E9" s="25"/>
      <c r="F9" s="25"/>
      <c r="G9" s="25"/>
      <c r="H9" s="25"/>
      <c r="I9" s="25"/>
      <c r="J9" s="27"/>
      <c r="K9" s="89">
        <v>1541700</v>
      </c>
      <c r="L9" s="89"/>
      <c r="M9" s="89">
        <v>894240</v>
      </c>
      <c r="N9" s="89"/>
      <c r="O9" s="89">
        <f t="shared" si="0"/>
        <v>2435940</v>
      </c>
    </row>
    <row r="10" spans="1:15" s="1" customFormat="1" x14ac:dyDescent="0.2">
      <c r="A10" s="25"/>
      <c r="B10" s="25" t="s">
        <v>2</v>
      </c>
      <c r="C10" s="25"/>
      <c r="D10" s="25"/>
      <c r="E10" s="25"/>
      <c r="F10" s="25"/>
      <c r="G10" s="25"/>
      <c r="H10" s="25"/>
      <c r="I10" s="25"/>
      <c r="J10" s="27"/>
      <c r="K10" s="89">
        <f>103000+51500</f>
        <v>154500</v>
      </c>
      <c r="L10" s="89">
        <v>51500</v>
      </c>
      <c r="M10" s="89">
        <v>51500</v>
      </c>
      <c r="N10" s="89">
        <v>51500</v>
      </c>
      <c r="O10" s="89">
        <f t="shared" si="0"/>
        <v>309000</v>
      </c>
    </row>
    <row r="11" spans="1:15" s="1" customFormat="1" x14ac:dyDescent="0.2">
      <c r="A11" s="24"/>
      <c r="B11" s="25" t="s">
        <v>30</v>
      </c>
      <c r="C11" s="25"/>
      <c r="D11" s="25"/>
      <c r="E11" s="25"/>
      <c r="F11" s="25"/>
      <c r="G11" s="25"/>
      <c r="H11" s="25"/>
      <c r="I11" s="25"/>
      <c r="J11" s="27"/>
      <c r="K11" s="89"/>
      <c r="L11" s="89"/>
      <c r="M11" s="89"/>
      <c r="N11" s="89"/>
      <c r="O11" s="89">
        <f t="shared" si="0"/>
        <v>0</v>
      </c>
    </row>
    <row r="12" spans="1:15" s="1" customFormat="1" x14ac:dyDescent="0.2">
      <c r="A12" s="24"/>
      <c r="B12" s="25" t="s">
        <v>101</v>
      </c>
      <c r="C12" s="25"/>
      <c r="D12" s="25"/>
      <c r="E12" s="25"/>
      <c r="F12" s="25"/>
      <c r="G12" s="25"/>
      <c r="H12" s="25"/>
      <c r="I12" s="25"/>
      <c r="J12" s="27"/>
      <c r="K12" s="89"/>
      <c r="L12" s="89"/>
      <c r="M12" s="89">
        <v>330000</v>
      </c>
      <c r="N12" s="89">
        <v>338000</v>
      </c>
      <c r="O12" s="89">
        <f t="shared" si="0"/>
        <v>668000</v>
      </c>
    </row>
    <row r="13" spans="1:15" s="1" customFormat="1" x14ac:dyDescent="0.2">
      <c r="A13" s="24"/>
      <c r="B13" s="25" t="s">
        <v>77</v>
      </c>
      <c r="C13" s="25"/>
      <c r="D13" s="25"/>
      <c r="E13" s="25"/>
      <c r="F13" s="25"/>
      <c r="G13" s="25"/>
      <c r="H13" s="25"/>
      <c r="I13" s="25"/>
      <c r="J13" s="27"/>
      <c r="K13" s="89">
        <v>120000</v>
      </c>
      <c r="L13" s="89"/>
      <c r="M13" s="89"/>
      <c r="N13" s="89"/>
      <c r="O13" s="89">
        <f t="shared" si="0"/>
        <v>120000</v>
      </c>
    </row>
    <row r="14" spans="1:15" s="1" customFormat="1" x14ac:dyDescent="0.2">
      <c r="A14" s="25"/>
      <c r="B14" s="25" t="s">
        <v>42</v>
      </c>
      <c r="C14" s="25"/>
      <c r="D14" s="25"/>
      <c r="E14" s="25"/>
      <c r="F14" s="25"/>
      <c r="G14" s="25"/>
      <c r="H14" s="25"/>
      <c r="I14" s="25"/>
      <c r="J14" s="27"/>
      <c r="K14" s="89"/>
      <c r="L14" s="89"/>
      <c r="M14" s="89">
        <v>648810</v>
      </c>
      <c r="N14" s="89"/>
      <c r="O14" s="89">
        <f t="shared" si="0"/>
        <v>648810</v>
      </c>
    </row>
    <row r="15" spans="1:15" s="1" customFormat="1" x14ac:dyDescent="0.2">
      <c r="A15" s="25"/>
      <c r="B15" s="25" t="s">
        <v>60</v>
      </c>
      <c r="C15" s="25"/>
      <c r="D15" s="25"/>
      <c r="E15" s="25"/>
      <c r="F15" s="25"/>
      <c r="G15" s="25"/>
      <c r="H15" s="25"/>
      <c r="I15" s="25"/>
      <c r="J15" s="27"/>
      <c r="K15" s="89"/>
      <c r="L15" s="89">
        <v>150000</v>
      </c>
      <c r="M15" s="89">
        <v>150000</v>
      </c>
      <c r="N15" s="89"/>
      <c r="O15" s="89">
        <f t="shared" si="0"/>
        <v>300000</v>
      </c>
    </row>
    <row r="16" spans="1:15" s="4" customFormat="1" x14ac:dyDescent="0.2">
      <c r="A16" s="24"/>
      <c r="B16" s="25" t="s">
        <v>43</v>
      </c>
      <c r="C16" s="25"/>
      <c r="D16" s="25"/>
      <c r="E16" s="25"/>
      <c r="F16" s="25"/>
      <c r="G16" s="25"/>
      <c r="H16" s="25"/>
      <c r="I16" s="25"/>
      <c r="J16" s="27"/>
      <c r="K16" s="89"/>
      <c r="L16" s="89">
        <v>216702</v>
      </c>
      <c r="M16" s="89"/>
      <c r="N16" s="89">
        <v>316515</v>
      </c>
      <c r="O16" s="89">
        <f t="shared" si="0"/>
        <v>533217</v>
      </c>
    </row>
    <row r="17" spans="1:15" s="1" customFormat="1" x14ac:dyDescent="0.2">
      <c r="A17" s="25"/>
      <c r="B17" s="25" t="s">
        <v>44</v>
      </c>
      <c r="C17" s="25"/>
      <c r="D17" s="25"/>
      <c r="E17" s="25"/>
      <c r="F17" s="25"/>
      <c r="G17" s="25"/>
      <c r="H17" s="25"/>
      <c r="I17" s="25"/>
      <c r="J17" s="27"/>
      <c r="K17" s="89"/>
      <c r="L17" s="89"/>
      <c r="M17" s="89">
        <v>50000</v>
      </c>
      <c r="N17" s="89"/>
      <c r="O17" s="89">
        <f t="shared" si="0"/>
        <v>50000</v>
      </c>
    </row>
    <row r="18" spans="1:15" s="1" customFormat="1" x14ac:dyDescent="0.2">
      <c r="A18" s="25"/>
      <c r="B18" s="25" t="s">
        <v>70</v>
      </c>
      <c r="C18" s="25"/>
      <c r="D18" s="25"/>
      <c r="E18" s="25"/>
      <c r="F18" s="25"/>
      <c r="G18" s="25"/>
      <c r="H18" s="25"/>
      <c r="I18" s="25"/>
      <c r="J18" s="27"/>
      <c r="K18" s="89"/>
      <c r="L18" s="89">
        <f>170000+600000</f>
        <v>770000</v>
      </c>
      <c r="M18" s="89">
        <v>400000</v>
      </c>
      <c r="N18" s="89">
        <v>350000</v>
      </c>
      <c r="O18" s="89">
        <f t="shared" si="0"/>
        <v>1520000</v>
      </c>
    </row>
    <row r="19" spans="1:15" s="1" customFormat="1" x14ac:dyDescent="0.2">
      <c r="A19" s="25"/>
      <c r="B19" s="25" t="s">
        <v>102</v>
      </c>
      <c r="C19" s="25"/>
      <c r="D19" s="25"/>
      <c r="E19" s="25"/>
      <c r="F19" s="25"/>
      <c r="G19" s="25"/>
      <c r="H19" s="25"/>
      <c r="I19" s="25"/>
      <c r="J19" s="27"/>
      <c r="K19" s="89"/>
      <c r="L19" s="89"/>
      <c r="M19" s="89">
        <v>500000</v>
      </c>
      <c r="N19" s="89">
        <v>450000</v>
      </c>
      <c r="O19" s="89">
        <f t="shared" si="0"/>
        <v>950000</v>
      </c>
    </row>
    <row r="20" spans="1:15" s="1" customFormat="1" x14ac:dyDescent="0.2">
      <c r="A20" s="25"/>
      <c r="B20" s="25" t="s">
        <v>105</v>
      </c>
      <c r="C20" s="25"/>
      <c r="D20" s="25"/>
      <c r="E20" s="25"/>
      <c r="F20" s="25"/>
      <c r="G20" s="25"/>
      <c r="H20" s="25"/>
      <c r="I20" s="25"/>
      <c r="J20" s="27"/>
      <c r="K20" s="89"/>
      <c r="L20" s="89"/>
      <c r="M20" s="89">
        <v>20900</v>
      </c>
      <c r="N20" s="89"/>
      <c r="O20" s="89">
        <f t="shared" si="0"/>
        <v>20900</v>
      </c>
    </row>
    <row r="21" spans="1:15" s="1" customFormat="1" x14ac:dyDescent="0.2">
      <c r="A21" s="25"/>
      <c r="B21" s="25" t="s">
        <v>3</v>
      </c>
      <c r="C21" s="25"/>
      <c r="D21" s="25"/>
      <c r="E21" s="25"/>
      <c r="F21" s="25"/>
      <c r="G21" s="25"/>
      <c r="H21" s="25"/>
      <c r="I21" s="25"/>
      <c r="J21" s="27"/>
      <c r="K21" s="89">
        <f>+'Ingresos _ Egresos 2024'!K9</f>
        <v>47076.43</v>
      </c>
      <c r="L21" s="89">
        <f>+'Ingresos _ Egresos 2024'!K25</f>
        <v>38528.120000000003</v>
      </c>
      <c r="M21" s="89">
        <f>+'Ingresos _ Egresos 2024'!K40</f>
        <v>47070.66</v>
      </c>
      <c r="N21" s="89">
        <f>+'Ingresos _ Egresos 2024'!K54</f>
        <v>38658.120000000003</v>
      </c>
      <c r="O21" s="89">
        <f t="shared" si="0"/>
        <v>171333.33000000002</v>
      </c>
    </row>
    <row r="22" spans="1:15" s="1" customFormat="1" x14ac:dyDescent="0.2">
      <c r="A22" s="25"/>
      <c r="B22" s="24" t="s">
        <v>4</v>
      </c>
      <c r="C22" s="24"/>
      <c r="D22" s="24"/>
      <c r="E22" s="24"/>
      <c r="F22" s="24"/>
      <c r="G22" s="24"/>
      <c r="H22" s="24"/>
      <c r="I22" s="24"/>
      <c r="J22" s="26"/>
      <c r="K22" s="129">
        <f>+K3-K5</f>
        <v>46723.569999999832</v>
      </c>
      <c r="L22" s="129">
        <f>+L3-L5</f>
        <v>1023269.8799999999</v>
      </c>
      <c r="M22" s="129">
        <f>+M3-M5</f>
        <v>20077.339999999851</v>
      </c>
      <c r="N22" s="129">
        <f>+N3-N5</f>
        <v>-812968.45000000019</v>
      </c>
      <c r="O22" s="129">
        <f t="shared" si="0"/>
        <v>277102.33999999939</v>
      </c>
    </row>
    <row r="23" spans="1:15" s="1" customFormat="1" x14ac:dyDescent="0.2">
      <c r="A23" s="49"/>
      <c r="B23" s="50"/>
      <c r="C23" s="51"/>
      <c r="D23" s="51"/>
      <c r="E23" s="51"/>
      <c r="F23" s="51"/>
      <c r="G23" s="52"/>
      <c r="H23" s="52"/>
      <c r="I23" s="52"/>
      <c r="J23" s="52"/>
      <c r="K23" s="52"/>
      <c r="L23" s="52"/>
      <c r="M23" s="52"/>
      <c r="N23" s="52"/>
    </row>
    <row r="24" spans="1:15" s="1" customFormat="1" x14ac:dyDescent="0.2">
      <c r="A24" s="2"/>
      <c r="B24" s="2"/>
      <c r="C24" s="3"/>
      <c r="D24" s="2"/>
      <c r="E24" s="3"/>
      <c r="F24" s="3"/>
    </row>
    <row r="25" spans="1:15" ht="49" customHeight="1" collapsed="1" x14ac:dyDescent="0.45">
      <c r="A25" s="194" t="s">
        <v>128</v>
      </c>
      <c r="B25" s="194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</row>
    <row r="26" spans="1:15" ht="48" collapsed="1" x14ac:dyDescent="0.2">
      <c r="A26" s="113" t="s">
        <v>0</v>
      </c>
      <c r="B26" s="113" t="s">
        <v>1</v>
      </c>
      <c r="C26" s="113" t="s">
        <v>5</v>
      </c>
      <c r="D26" s="113" t="s">
        <v>78</v>
      </c>
      <c r="E26" s="113" t="s">
        <v>79</v>
      </c>
      <c r="F26" s="113" t="s">
        <v>80</v>
      </c>
      <c r="G26" s="113" t="s">
        <v>159</v>
      </c>
      <c r="H26" s="113" t="s">
        <v>191</v>
      </c>
      <c r="I26" s="113" t="s">
        <v>203</v>
      </c>
      <c r="J26" s="113" t="s">
        <v>204</v>
      </c>
      <c r="K26" s="113" t="s">
        <v>7</v>
      </c>
      <c r="L26" s="113" t="s">
        <v>8</v>
      </c>
      <c r="M26" s="113" t="s">
        <v>9</v>
      </c>
      <c r="N26" s="113" t="s">
        <v>10</v>
      </c>
      <c r="O26" s="113" t="s">
        <v>6</v>
      </c>
    </row>
    <row r="27" spans="1:15" s="1" customFormat="1" x14ac:dyDescent="0.2">
      <c r="A27" s="20"/>
      <c r="B27" s="20" t="s">
        <v>39</v>
      </c>
      <c r="C27" s="21">
        <f>+'Ingresos_Egresos 2025'!E10</f>
        <v>2595458</v>
      </c>
      <c r="D27" s="21">
        <f>+'Ingresos_Egresos 2025'!E23</f>
        <v>3353136</v>
      </c>
      <c r="E27" s="21">
        <f>+'Ingresos_Egresos 2025'!E39</f>
        <v>4845556</v>
      </c>
      <c r="F27" s="21">
        <f>+'Ingresos_Egresos 2025'!E56</f>
        <v>5525117</v>
      </c>
      <c r="G27" s="21">
        <f>+'Ingresos_Egresos 2025'!E69</f>
        <v>6068360</v>
      </c>
      <c r="H27" s="21">
        <f>+'Ingresos_Egresos 2025'!E89</f>
        <v>7846087</v>
      </c>
      <c r="I27" s="21">
        <f>+'Ingresos_Egresos 2025'!E112</f>
        <v>2972621</v>
      </c>
      <c r="J27" s="21">
        <f>+'Ingresos_Egresos 2025'!E128</f>
        <v>8291225</v>
      </c>
      <c r="K27" s="21">
        <f>+'Ingresos_Egresos 2025'!E148</f>
        <v>5371597</v>
      </c>
      <c r="L27" s="21">
        <f>+'Ingresos_Egresos 2025'!E162</f>
        <v>2275000</v>
      </c>
      <c r="M27" s="21">
        <f>+'Ingresos_Egresos 2025'!E183</f>
        <v>2073165</v>
      </c>
      <c r="N27" s="21">
        <f>+'Ingresos_Egresos 2025'!E202</f>
        <v>8665973</v>
      </c>
      <c r="O27" s="21">
        <f>SUM(C27:N27)</f>
        <v>59883295</v>
      </c>
    </row>
    <row r="28" spans="1:15" s="1" customFormat="1" x14ac:dyDescent="0.2">
      <c r="A28" s="20"/>
      <c r="B28" s="20" t="s">
        <v>138</v>
      </c>
      <c r="C28" s="21">
        <f>+O22</f>
        <v>277102.33999999939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>
        <f>SUM(C28:N28)</f>
        <v>277102.33999999939</v>
      </c>
    </row>
    <row r="29" spans="1:15" s="1" customFormat="1" x14ac:dyDescent="0.2">
      <c r="A29" s="22"/>
      <c r="B29" s="22" t="s">
        <v>17</v>
      </c>
      <c r="C29" s="23">
        <f>+'Ingresos_Egresos 2025'!K10</f>
        <v>2548956.25</v>
      </c>
      <c r="D29" s="23">
        <f>+'Ingresos_Egresos 2025'!K23</f>
        <v>4308663.87</v>
      </c>
      <c r="E29" s="23">
        <f>+'Ingresos_Egresos 2025'!K39</f>
        <v>3650057.84</v>
      </c>
      <c r="F29" s="23">
        <f>+'Ingresos_Egresos 2025'!K56</f>
        <v>7473007.8899999997</v>
      </c>
      <c r="G29" s="23">
        <f>+'Ingresos_Egresos 2025'!K69</f>
        <v>4282672.55</v>
      </c>
      <c r="H29" s="23">
        <f>+'Ingresos_Egresos 2025'!K89</f>
        <v>5830790.7400000002</v>
      </c>
      <c r="I29" s="23">
        <f>+'Ingresos_Egresos 2025'!K112</f>
        <v>9270014.4700000007</v>
      </c>
      <c r="J29" s="23">
        <f>+'Ingresos_Egresos 2025'!K128</f>
        <v>2846461.1</v>
      </c>
      <c r="K29" s="23">
        <f>+'Ingresos_Egresos 2025'!K148</f>
        <v>7744737.6399999997</v>
      </c>
      <c r="L29" s="23">
        <f>+'Ingresos_Egresos 2025'!K162</f>
        <v>2604829</v>
      </c>
      <c r="M29" s="23">
        <f>+'Ingresos_Egresos 2025'!K183</f>
        <v>3871153.96</v>
      </c>
      <c r="N29" s="23">
        <f>+'Ingresos_Egresos 2025'!K202</f>
        <v>5266594.1100000003</v>
      </c>
      <c r="O29" s="23">
        <f>SUM(C29:N29)</f>
        <v>59697939.420000002</v>
      </c>
    </row>
    <row r="30" spans="1:15" s="4" customFormat="1" x14ac:dyDescent="0.2">
      <c r="A30" s="24"/>
      <c r="B30" s="25" t="s">
        <v>229</v>
      </c>
      <c r="C30" s="89">
        <v>180000</v>
      </c>
      <c r="D30" s="89">
        <v>140000</v>
      </c>
      <c r="E30" s="89">
        <v>180000</v>
      </c>
      <c r="F30" s="89">
        <v>900000</v>
      </c>
      <c r="G30" s="89"/>
      <c r="H30" s="89">
        <v>380000</v>
      </c>
      <c r="I30" s="89">
        <f>576560+190000+180000</f>
        <v>946560</v>
      </c>
      <c r="J30" s="89">
        <v>180000</v>
      </c>
      <c r="K30" s="89">
        <f>180000+180000+380000+380000+180000</f>
        <v>1300000</v>
      </c>
      <c r="L30" s="89">
        <v>180000</v>
      </c>
      <c r="M30" s="89">
        <f>380000+180000</f>
        <v>560000</v>
      </c>
      <c r="N30" s="89"/>
      <c r="O30" s="89">
        <f>SUM(C30:N30)</f>
        <v>4946560</v>
      </c>
    </row>
    <row r="31" spans="1:15" s="1" customFormat="1" x14ac:dyDescent="0.2">
      <c r="A31" s="24"/>
      <c r="B31" s="25" t="s">
        <v>19</v>
      </c>
      <c r="C31" s="89">
        <f>750000+750000</f>
        <v>1500000</v>
      </c>
      <c r="D31" s="89">
        <f>750000+750000</f>
        <v>1500000</v>
      </c>
      <c r="E31" s="89">
        <f>750000+750000</f>
        <v>1500000</v>
      </c>
      <c r="F31" s="89">
        <f>750000+750000</f>
        <v>1500000</v>
      </c>
      <c r="G31" s="89">
        <f>750000+750000</f>
        <v>1500000</v>
      </c>
      <c r="H31" s="89">
        <f>1500000+750000</f>
        <v>2250000</v>
      </c>
      <c r="I31" s="89">
        <f>750000+750000</f>
        <v>1500000</v>
      </c>
      <c r="J31" s="89">
        <f>750000+750000</f>
        <v>1500000</v>
      </c>
      <c r="K31" s="89">
        <f>750000+750000+2163750</f>
        <v>3663750</v>
      </c>
      <c r="L31" s="89">
        <f>711750+711750</f>
        <v>1423500</v>
      </c>
      <c r="M31" s="89">
        <f>711750+711750</f>
        <v>1423500</v>
      </c>
      <c r="N31" s="89">
        <f>711750+711750+711750</f>
        <v>2135250</v>
      </c>
      <c r="O31" s="89">
        <f t="shared" ref="O31:O46" si="1">SUM(C31:N31)</f>
        <v>21396000</v>
      </c>
    </row>
    <row r="32" spans="1:15" s="1" customFormat="1" x14ac:dyDescent="0.2">
      <c r="A32" s="25"/>
      <c r="B32" s="25" t="s">
        <v>20</v>
      </c>
      <c r="C32" s="89">
        <v>400000</v>
      </c>
      <c r="D32" s="89">
        <v>400000</v>
      </c>
      <c r="E32" s="89">
        <v>400000</v>
      </c>
      <c r="F32" s="89">
        <v>400000</v>
      </c>
      <c r="G32" s="89">
        <v>500000</v>
      </c>
      <c r="H32" s="89">
        <f>200000+400000</f>
        <v>600000</v>
      </c>
      <c r="I32" s="89">
        <v>500000</v>
      </c>
      <c r="J32" s="89">
        <v>500000</v>
      </c>
      <c r="K32" s="89">
        <v>500000</v>
      </c>
      <c r="L32" s="89">
        <v>427050</v>
      </c>
      <c r="M32" s="89">
        <v>474500</v>
      </c>
      <c r="N32" s="89">
        <v>921950</v>
      </c>
      <c r="O32" s="89">
        <f t="shared" si="1"/>
        <v>6023500</v>
      </c>
    </row>
    <row r="33" spans="1:15" s="1" customFormat="1" x14ac:dyDescent="0.2">
      <c r="A33" s="25"/>
      <c r="B33" s="25" t="s">
        <v>18</v>
      </c>
      <c r="C33" s="89"/>
      <c r="D33" s="89">
        <v>1031790</v>
      </c>
      <c r="E33" s="89"/>
      <c r="F33" s="89">
        <v>755920</v>
      </c>
      <c r="G33" s="89"/>
      <c r="H33" s="89">
        <f>945650</f>
        <v>945650</v>
      </c>
      <c r="I33" s="89">
        <v>789700</v>
      </c>
      <c r="J33" s="89"/>
      <c r="K33" s="89">
        <v>647390</v>
      </c>
      <c r="L33" s="89"/>
      <c r="M33" s="89"/>
      <c r="N33" s="89">
        <v>607800</v>
      </c>
      <c r="O33" s="89">
        <f t="shared" si="1"/>
        <v>4778250</v>
      </c>
    </row>
    <row r="34" spans="1:15" s="1" customFormat="1" x14ac:dyDescent="0.2">
      <c r="A34" s="25"/>
      <c r="B34" s="25" t="s">
        <v>2</v>
      </c>
      <c r="C34" s="89">
        <v>51500</v>
      </c>
      <c r="D34" s="89">
        <v>51500</v>
      </c>
      <c r="E34" s="89">
        <v>51500</v>
      </c>
      <c r="F34" s="89">
        <v>51500</v>
      </c>
      <c r="G34" s="89">
        <v>51500</v>
      </c>
      <c r="H34" s="89">
        <v>51500</v>
      </c>
      <c r="I34" s="89">
        <v>51500</v>
      </c>
      <c r="J34" s="89">
        <v>51500</v>
      </c>
      <c r="K34" s="89">
        <v>51500</v>
      </c>
      <c r="L34" s="89">
        <v>51500</v>
      </c>
      <c r="M34" s="89">
        <v>51500</v>
      </c>
      <c r="N34" s="89">
        <v>51500</v>
      </c>
      <c r="O34" s="89">
        <f t="shared" si="1"/>
        <v>618000</v>
      </c>
    </row>
    <row r="35" spans="1:15" s="1" customFormat="1" x14ac:dyDescent="0.2">
      <c r="A35" s="24"/>
      <c r="B35" s="25" t="s">
        <v>30</v>
      </c>
      <c r="C35" s="89"/>
      <c r="D35" s="89"/>
      <c r="E35" s="89"/>
      <c r="F35" s="89"/>
      <c r="G35" s="89"/>
      <c r="H35" s="89">
        <f>87400+234800</f>
        <v>322200</v>
      </c>
      <c r="I35" s="89"/>
      <c r="J35" s="89"/>
      <c r="K35" s="89">
        <v>87400</v>
      </c>
      <c r="L35" s="89"/>
      <c r="M35" s="89"/>
      <c r="N35" s="89"/>
      <c r="O35" s="89">
        <f t="shared" si="1"/>
        <v>409600</v>
      </c>
    </row>
    <row r="36" spans="1:15" s="1" customFormat="1" x14ac:dyDescent="0.2">
      <c r="A36" s="24"/>
      <c r="B36" s="25" t="s">
        <v>101</v>
      </c>
      <c r="C36" s="89"/>
      <c r="D36" s="89"/>
      <c r="E36" s="89">
        <v>102000</v>
      </c>
      <c r="F36" s="89"/>
      <c r="G36" s="89">
        <v>230000</v>
      </c>
      <c r="H36" s="89">
        <f>98000+210000</f>
        <v>308000</v>
      </c>
      <c r="I36" s="89"/>
      <c r="J36" s="89">
        <v>305000</v>
      </c>
      <c r="K36" s="89"/>
      <c r="L36" s="89">
        <v>210000</v>
      </c>
      <c r="M36" s="89">
        <v>95000</v>
      </c>
      <c r="N36" s="89">
        <v>210000</v>
      </c>
      <c r="O36" s="89">
        <f t="shared" si="1"/>
        <v>1460000</v>
      </c>
    </row>
    <row r="37" spans="1:15" s="1" customFormat="1" x14ac:dyDescent="0.2">
      <c r="A37" s="24"/>
      <c r="B37" s="25" t="s">
        <v>77</v>
      </c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>
        <f t="shared" si="1"/>
        <v>0</v>
      </c>
    </row>
    <row r="38" spans="1:15" s="1" customFormat="1" x14ac:dyDescent="0.2">
      <c r="A38" s="25"/>
      <c r="B38" s="25" t="s">
        <v>140</v>
      </c>
      <c r="C38" s="89"/>
      <c r="D38" s="89"/>
      <c r="E38" s="89">
        <v>353364</v>
      </c>
      <c r="F38" s="89"/>
      <c r="G38" s="89"/>
      <c r="H38" s="89"/>
      <c r="I38" s="89"/>
      <c r="J38" s="89"/>
      <c r="K38" s="89"/>
      <c r="L38" s="89"/>
      <c r="M38" s="89"/>
      <c r="N38" s="89"/>
      <c r="O38" s="89">
        <f t="shared" si="1"/>
        <v>353364</v>
      </c>
    </row>
    <row r="39" spans="1:15" s="1" customFormat="1" x14ac:dyDescent="0.2">
      <c r="A39" s="25"/>
      <c r="B39" s="25" t="s">
        <v>60</v>
      </c>
      <c r="C39" s="89">
        <v>112900</v>
      </c>
      <c r="D39" s="89"/>
      <c r="E39" s="89"/>
      <c r="F39" s="89">
        <f>+'Ingresos_Egresos 2025'!K43+'Ingresos_Egresos 2025'!K44+'Ingresos_Egresos 2025'!K45</f>
        <v>158100</v>
      </c>
      <c r="G39" s="89">
        <v>150000</v>
      </c>
      <c r="H39" s="89">
        <v>150000</v>
      </c>
      <c r="I39" s="89">
        <v>150000</v>
      </c>
      <c r="J39" s="89">
        <v>150000</v>
      </c>
      <c r="K39" s="89"/>
      <c r="L39" s="89">
        <v>168503</v>
      </c>
      <c r="M39" s="89">
        <f>81467+150000</f>
        <v>231467</v>
      </c>
      <c r="N39" s="89">
        <v>150000</v>
      </c>
      <c r="O39" s="89">
        <f t="shared" si="1"/>
        <v>1420970</v>
      </c>
    </row>
    <row r="40" spans="1:15" s="4" customFormat="1" x14ac:dyDescent="0.2">
      <c r="A40" s="24"/>
      <c r="B40" s="25" t="s">
        <v>43</v>
      </c>
      <c r="C40" s="89"/>
      <c r="D40" s="89">
        <f>+'Ingresos_Egresos 2025'!K14</f>
        <v>367817</v>
      </c>
      <c r="E40" s="89"/>
      <c r="F40" s="89"/>
      <c r="G40" s="89">
        <v>518829</v>
      </c>
      <c r="H40" s="89"/>
      <c r="I40" s="89">
        <v>447617</v>
      </c>
      <c r="J40" s="89"/>
      <c r="K40" s="89">
        <v>519519</v>
      </c>
      <c r="L40" s="89"/>
      <c r="M40" s="89"/>
      <c r="N40" s="89">
        <v>619611</v>
      </c>
      <c r="O40" s="89">
        <f t="shared" si="1"/>
        <v>2473393</v>
      </c>
    </row>
    <row r="41" spans="1:15" s="1" customFormat="1" x14ac:dyDescent="0.2">
      <c r="A41" s="25"/>
      <c r="B41" s="25" t="s">
        <v>44</v>
      </c>
      <c r="C41" s="89">
        <f>158750+107150</f>
        <v>265900</v>
      </c>
      <c r="D41" s="89"/>
      <c r="E41" s="89"/>
      <c r="F41" s="89">
        <v>80000</v>
      </c>
      <c r="G41" s="89"/>
      <c r="H41" s="89"/>
      <c r="I41" s="89">
        <f>204700+50000</f>
        <v>254700</v>
      </c>
      <c r="J41" s="89"/>
      <c r="K41" s="89"/>
      <c r="L41" s="89"/>
      <c r="M41" s="89">
        <f>121000+163000</f>
        <v>284000</v>
      </c>
      <c r="N41" s="89"/>
      <c r="O41" s="89">
        <f t="shared" si="1"/>
        <v>884600</v>
      </c>
    </row>
    <row r="42" spans="1:15" s="1" customFormat="1" x14ac:dyDescent="0.2">
      <c r="A42" s="25"/>
      <c r="B42" s="25" t="s">
        <v>70</v>
      </c>
      <c r="C42" s="89"/>
      <c r="D42" s="89">
        <f>591003+187900</f>
        <v>778903</v>
      </c>
      <c r="E42" s="89"/>
      <c r="F42" s="89">
        <f>+'Ingresos_Egresos 2025'!K48+'Ingresos_Egresos 2025'!K51+'Ingresos_Egresos 2025'!K42</f>
        <v>3597500</v>
      </c>
      <c r="G42" s="89">
        <f>1272200+12800</f>
        <v>1285000</v>
      </c>
      <c r="H42" s="89">
        <f>400000+160000+50000+107000+76500</f>
        <v>793500</v>
      </c>
      <c r="I42" s="89">
        <f>300000+1000000+700000+100000+1000000+1000000+500000</f>
        <v>4600000</v>
      </c>
      <c r="J42" s="89">
        <v>130000</v>
      </c>
      <c r="K42" s="89">
        <f>224800+719200</f>
        <v>944000</v>
      </c>
      <c r="L42" s="89">
        <v>100000</v>
      </c>
      <c r="M42" s="89"/>
      <c r="N42" s="89">
        <f>50000+80000</f>
        <v>130000</v>
      </c>
      <c r="O42" s="89">
        <f t="shared" si="1"/>
        <v>12358903</v>
      </c>
    </row>
    <row r="43" spans="1:15" s="1" customFormat="1" x14ac:dyDescent="0.2">
      <c r="A43" s="25"/>
      <c r="B43" s="25" t="s">
        <v>102</v>
      </c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>
        <f t="shared" si="1"/>
        <v>0</v>
      </c>
    </row>
    <row r="44" spans="1:15" s="1" customFormat="1" x14ac:dyDescent="0.2">
      <c r="A44" s="25"/>
      <c r="B44" s="25" t="s">
        <v>357</v>
      </c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>
        <f>609505</f>
        <v>609505</v>
      </c>
      <c r="N44" s="89">
        <f>378220</f>
        <v>378220</v>
      </c>
      <c r="O44" s="89">
        <f t="shared" si="1"/>
        <v>987725</v>
      </c>
    </row>
    <row r="45" spans="1:15" s="1" customFormat="1" x14ac:dyDescent="0.2">
      <c r="A45" s="25"/>
      <c r="B45" s="25" t="s">
        <v>358</v>
      </c>
      <c r="C45" s="89"/>
      <c r="D45" s="89"/>
      <c r="E45" s="89">
        <f>786645+51900+120000+57300</f>
        <v>1015845</v>
      </c>
      <c r="F45" s="89"/>
      <c r="G45" s="89"/>
      <c r="H45" s="89"/>
      <c r="I45" s="89"/>
      <c r="J45" s="89"/>
      <c r="K45" s="89"/>
      <c r="L45" s="89"/>
      <c r="M45" s="89">
        <v>68000</v>
      </c>
      <c r="N45" s="89"/>
      <c r="O45" s="89">
        <f t="shared" si="1"/>
        <v>1083845</v>
      </c>
    </row>
    <row r="46" spans="1:15" s="1" customFormat="1" x14ac:dyDescent="0.2">
      <c r="A46" s="25"/>
      <c r="B46" s="25" t="s">
        <v>3</v>
      </c>
      <c r="C46" s="89">
        <f>+'Ingresos_Egresos 2025'!K9</f>
        <v>38656.25</v>
      </c>
      <c r="D46" s="89">
        <f>+'Ingresos_Egresos 2025'!K22</f>
        <v>38653.870000000003</v>
      </c>
      <c r="E46" s="89">
        <f>+'Ingresos_Egresos 2025'!K38</f>
        <v>47348.84</v>
      </c>
      <c r="F46" s="89">
        <f>+'Ingresos_Egresos 2025'!K55</f>
        <v>29987.89</v>
      </c>
      <c r="G46" s="89">
        <f>+'Ingresos_Egresos 2025'!K68</f>
        <v>47343.55</v>
      </c>
      <c r="H46" s="89">
        <f>+'Ingresos_Egresos 2025'!K88</f>
        <v>29940.74</v>
      </c>
      <c r="I46" s="89">
        <f>+'Ingresos_Egresos 2025'!K111</f>
        <v>29937.47</v>
      </c>
      <c r="J46" s="89">
        <f>+'Ingresos_Egresos 2025'!K122</f>
        <v>29961.1</v>
      </c>
      <c r="K46" s="89">
        <f>+'Ingresos_Egresos 2025'!K147</f>
        <v>31178.639999999999</v>
      </c>
      <c r="L46" s="89">
        <f>+'Ingresos_Egresos 2025'!K161</f>
        <v>44276</v>
      </c>
      <c r="M46" s="89">
        <f>+'Ingresos_Egresos 2025'!K182</f>
        <v>73681.960000000006</v>
      </c>
      <c r="N46" s="89">
        <f>+'Ingresos_Egresos 2025'!K201</f>
        <v>62263.11</v>
      </c>
      <c r="O46" s="89">
        <f t="shared" si="1"/>
        <v>503229.42</v>
      </c>
    </row>
    <row r="47" spans="1:15" s="1" customFormat="1" x14ac:dyDescent="0.2">
      <c r="A47" s="25"/>
      <c r="B47" s="24" t="s">
        <v>4</v>
      </c>
      <c r="C47" s="129">
        <f>+C27+C28-C29</f>
        <v>323604.08999999939</v>
      </c>
      <c r="D47" s="129">
        <f t="shared" ref="D47:G47" si="2">+D27+D28-D29</f>
        <v>-955527.87000000011</v>
      </c>
      <c r="E47" s="129">
        <f t="shared" si="2"/>
        <v>1195498.1600000001</v>
      </c>
      <c r="F47" s="129">
        <f t="shared" si="2"/>
        <v>-1947890.8899999997</v>
      </c>
      <c r="G47" s="129">
        <f t="shared" si="2"/>
        <v>1785687.4500000002</v>
      </c>
      <c r="H47" s="129">
        <f t="shared" ref="H47:L47" si="3">+H27+H28-H29</f>
        <v>2015296.2599999998</v>
      </c>
      <c r="I47" s="129">
        <f t="shared" si="3"/>
        <v>-6297393.4700000007</v>
      </c>
      <c r="J47" s="129">
        <f t="shared" si="3"/>
        <v>5444763.9000000004</v>
      </c>
      <c r="K47" s="129">
        <f t="shared" si="3"/>
        <v>-2373140.6399999997</v>
      </c>
      <c r="L47" s="129">
        <f t="shared" si="3"/>
        <v>-329829</v>
      </c>
      <c r="M47" s="129">
        <f>+M27+M28-M29</f>
        <v>-1797988.96</v>
      </c>
      <c r="N47" s="129">
        <f>+N27+N28-N29</f>
        <v>3399378.8899999997</v>
      </c>
      <c r="O47" s="129">
        <f>SUM(C47:N47)</f>
        <v>462457.91999999946</v>
      </c>
    </row>
    <row r="56" spans="1:15" x14ac:dyDescent="0.2">
      <c r="F56" s="28"/>
    </row>
    <row r="57" spans="1:15" ht="39" x14ac:dyDescent="0.45">
      <c r="A57" s="194" t="s">
        <v>372</v>
      </c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</row>
    <row r="58" spans="1:15" ht="48" x14ac:dyDescent="0.2">
      <c r="A58" s="113" t="s">
        <v>0</v>
      </c>
      <c r="B58" s="113" t="s">
        <v>1</v>
      </c>
      <c r="C58" s="113" t="s">
        <v>5</v>
      </c>
      <c r="D58" s="113" t="s">
        <v>78</v>
      </c>
      <c r="E58" s="113" t="s">
        <v>79</v>
      </c>
      <c r="F58" s="113" t="s">
        <v>80</v>
      </c>
      <c r="G58" s="113" t="s">
        <v>159</v>
      </c>
      <c r="H58" s="113" t="s">
        <v>191</v>
      </c>
      <c r="I58" s="113" t="s">
        <v>203</v>
      </c>
      <c r="J58" s="113" t="s">
        <v>204</v>
      </c>
      <c r="K58" s="113" t="s">
        <v>7</v>
      </c>
      <c r="L58" s="113" t="s">
        <v>8</v>
      </c>
      <c r="M58" s="113" t="s">
        <v>9</v>
      </c>
      <c r="N58" s="113" t="s">
        <v>10</v>
      </c>
      <c r="O58" s="113" t="s">
        <v>6</v>
      </c>
    </row>
    <row r="59" spans="1:15" x14ac:dyDescent="0.2">
      <c r="A59" s="20"/>
      <c r="B59" s="20" t="s">
        <v>39</v>
      </c>
      <c r="C59" s="21">
        <f>+'Ingresos_Egresos 2026'!E32</f>
        <v>8564892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>
        <f>SUM(C59:N59)</f>
        <v>8564892</v>
      </c>
    </row>
    <row r="60" spans="1:15" x14ac:dyDescent="0.2">
      <c r="A60" s="20"/>
      <c r="B60" s="20" t="s">
        <v>138</v>
      </c>
      <c r="C60" s="21">
        <f>+O47</f>
        <v>462457.91999999946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>
        <f>SUM(C60:N60)</f>
        <v>462457.91999999946</v>
      </c>
    </row>
    <row r="61" spans="1:15" x14ac:dyDescent="0.2">
      <c r="A61" s="22"/>
      <c r="B61" s="22" t="s">
        <v>17</v>
      </c>
      <c r="C61" s="23">
        <f>+'Ingresos_Egresos 2026'!K32</f>
        <v>9893337.5599999987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>
        <f>SUM(C61:N61)</f>
        <v>9893337.5599999987</v>
      </c>
    </row>
    <row r="62" spans="1:15" x14ac:dyDescent="0.2">
      <c r="A62" s="24"/>
      <c r="B62" s="25" t="s">
        <v>229</v>
      </c>
      <c r="C62" s="89">
        <f>760000+380000+125000</f>
        <v>1265000</v>
      </c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>
        <f>SUM(C62:N62)</f>
        <v>1265000</v>
      </c>
    </row>
    <row r="63" spans="1:15" x14ac:dyDescent="0.2">
      <c r="A63" s="24"/>
      <c r="B63" s="25" t="s">
        <v>19</v>
      </c>
      <c r="C63" s="89">
        <f>875453+875453</f>
        <v>1750906</v>
      </c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>
        <f t="shared" ref="O63:O78" si="4">SUM(C63:N63)</f>
        <v>1750906</v>
      </c>
    </row>
    <row r="64" spans="1:15" x14ac:dyDescent="0.2">
      <c r="A64" s="25"/>
      <c r="B64" s="25" t="s">
        <v>20</v>
      </c>
      <c r="C64" s="89">
        <v>758732</v>
      </c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>
        <f t="shared" si="4"/>
        <v>758732</v>
      </c>
    </row>
    <row r="65" spans="1:15" x14ac:dyDescent="0.2">
      <c r="A65" s="25"/>
      <c r="B65" s="25" t="s">
        <v>18</v>
      </c>
      <c r="C65" s="89">
        <v>738970</v>
      </c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>
        <f t="shared" si="4"/>
        <v>738970</v>
      </c>
    </row>
    <row r="66" spans="1:15" x14ac:dyDescent="0.2">
      <c r="A66" s="25"/>
      <c r="B66" s="25" t="s">
        <v>2</v>
      </c>
      <c r="C66" s="89">
        <v>51500</v>
      </c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>
        <f t="shared" si="4"/>
        <v>51500</v>
      </c>
    </row>
    <row r="67" spans="1:15" x14ac:dyDescent="0.2">
      <c r="A67" s="24"/>
      <c r="B67" s="25" t="s">
        <v>30</v>
      </c>
      <c r="C67" s="89">
        <f>174800+98000</f>
        <v>272800</v>
      </c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>
        <f t="shared" si="4"/>
        <v>272800</v>
      </c>
    </row>
    <row r="68" spans="1:15" x14ac:dyDescent="0.2">
      <c r="A68" s="24"/>
      <c r="B68" s="25" t="s">
        <v>101</v>
      </c>
      <c r="C68" s="89">
        <f>210000+95000</f>
        <v>305000</v>
      </c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>
        <f t="shared" si="4"/>
        <v>305000</v>
      </c>
    </row>
    <row r="69" spans="1:15" x14ac:dyDescent="0.2">
      <c r="A69" s="24"/>
      <c r="B69" s="25" t="s">
        <v>77</v>
      </c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>
        <f t="shared" si="4"/>
        <v>0</v>
      </c>
    </row>
    <row r="70" spans="1:15" x14ac:dyDescent="0.2">
      <c r="A70" s="25"/>
      <c r="B70" s="25" t="s">
        <v>411</v>
      </c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>
        <f t="shared" si="4"/>
        <v>0</v>
      </c>
    </row>
    <row r="71" spans="1:15" x14ac:dyDescent="0.2">
      <c r="A71" s="25"/>
      <c r="B71" s="25" t="s">
        <v>60</v>
      </c>
      <c r="C71" s="89">
        <v>180000</v>
      </c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>
        <f t="shared" si="4"/>
        <v>180000</v>
      </c>
    </row>
    <row r="72" spans="1:15" x14ac:dyDescent="0.2">
      <c r="A72" s="24"/>
      <c r="B72" s="25" t="s">
        <v>43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>
        <f t="shared" si="4"/>
        <v>0</v>
      </c>
    </row>
    <row r="73" spans="1:15" x14ac:dyDescent="0.2">
      <c r="A73" s="25"/>
      <c r="B73" s="25" t="s">
        <v>44</v>
      </c>
      <c r="C73" s="89">
        <v>349200</v>
      </c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>
        <f t="shared" si="4"/>
        <v>349200</v>
      </c>
    </row>
    <row r="74" spans="1:15" x14ac:dyDescent="0.2">
      <c r="A74" s="25"/>
      <c r="B74" s="25" t="s">
        <v>70</v>
      </c>
      <c r="C74" s="89">
        <f>927500+100000+100000+170000+216000+299285+90000+450000+357700</f>
        <v>2710485</v>
      </c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>
        <f t="shared" si="4"/>
        <v>2710485</v>
      </c>
    </row>
    <row r="75" spans="1:15" x14ac:dyDescent="0.2">
      <c r="A75" s="25"/>
      <c r="B75" s="25" t="s">
        <v>102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>
        <f t="shared" si="4"/>
        <v>0</v>
      </c>
    </row>
    <row r="76" spans="1:15" x14ac:dyDescent="0.2">
      <c r="A76" s="25"/>
      <c r="B76" s="25" t="s">
        <v>357</v>
      </c>
      <c r="C76" s="89">
        <f>391220+569848.22+454020</f>
        <v>1415088.22</v>
      </c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>
        <f t="shared" si="4"/>
        <v>1415088.22</v>
      </c>
    </row>
    <row r="77" spans="1:15" x14ac:dyDescent="0.2">
      <c r="A77" s="25"/>
      <c r="B77" s="25" t="s">
        <v>358</v>
      </c>
      <c r="C77" s="89">
        <v>22000</v>
      </c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>
        <f t="shared" si="4"/>
        <v>22000</v>
      </c>
    </row>
    <row r="78" spans="1:15" x14ac:dyDescent="0.2">
      <c r="A78" s="25"/>
      <c r="B78" s="25" t="s">
        <v>3</v>
      </c>
      <c r="C78" s="89">
        <f>+'Ingresos_Egresos 2026'!K31</f>
        <v>73656.34</v>
      </c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>
        <f t="shared" si="4"/>
        <v>73656.34</v>
      </c>
    </row>
    <row r="79" spans="1:15" x14ac:dyDescent="0.2">
      <c r="A79" s="25"/>
      <c r="B79" s="24" t="s">
        <v>4</v>
      </c>
      <c r="C79" s="129">
        <f>+C59+C60-C61</f>
        <v>-865987.63999999873</v>
      </c>
      <c r="D79" s="129">
        <f>+D59+D60-D61</f>
        <v>0</v>
      </c>
      <c r="E79" s="129">
        <f t="shared" ref="E79:L79" si="5">+E59+E60-E61</f>
        <v>0</v>
      </c>
      <c r="F79" s="129">
        <f t="shared" si="5"/>
        <v>0</v>
      </c>
      <c r="G79" s="129">
        <f t="shared" si="5"/>
        <v>0</v>
      </c>
      <c r="H79" s="129">
        <f t="shared" si="5"/>
        <v>0</v>
      </c>
      <c r="I79" s="129">
        <f t="shared" si="5"/>
        <v>0</v>
      </c>
      <c r="J79" s="129">
        <f t="shared" si="5"/>
        <v>0</v>
      </c>
      <c r="K79" s="129">
        <f t="shared" si="5"/>
        <v>0</v>
      </c>
      <c r="L79" s="129">
        <f t="shared" si="5"/>
        <v>0</v>
      </c>
      <c r="M79" s="129">
        <f>+M59+M60-M61</f>
        <v>0</v>
      </c>
      <c r="N79" s="129">
        <f>+N59+N60-N61</f>
        <v>0</v>
      </c>
      <c r="O79" s="129">
        <f>SUM(C79:N79)</f>
        <v>-865987.63999999873</v>
      </c>
    </row>
  </sheetData>
  <mergeCells count="3">
    <mergeCell ref="A1:O1"/>
    <mergeCell ref="A25:O25"/>
    <mergeCell ref="A57:O57"/>
  </mergeCells>
  <phoneticPr fontId="11" type="noConversion"/>
  <pageMargins left="0.70000000000000007" right="0.70000000000000007" top="0.75000000000000011" bottom="0.75000000000000011" header="0.30000000000000004" footer="0.30000000000000004"/>
  <pageSetup scale="54" fitToHeight="5" orientation="landscape" horizontalDpi="4294967292" verticalDpi="4294967292"/>
  <ignoredErrors>
    <ignoredError sqref="H31" formula="1"/>
  </ignoredErrors>
  <extLst>
    <ext xmlns:mx="http://schemas.microsoft.com/office/mac/excel/2008/main" uri="{64002731-A6B0-56B0-2670-7721B7C09600}">
      <mx:PLV Mode="1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CB41-01E8-7342-ABF3-D2A8A0ED41FB}">
  <sheetPr>
    <tabColor rgb="FF00B050"/>
    <pageSetUpPr fitToPage="1"/>
  </sheetPr>
  <dimension ref="B1:N48"/>
  <sheetViews>
    <sheetView view="pageLayout" topLeftCell="A6" zoomScale="130" zoomScaleNormal="100" zoomScalePageLayoutView="130" workbookViewId="0">
      <selection activeCell="D42" sqref="D42"/>
    </sheetView>
  </sheetViews>
  <sheetFormatPr baseColWidth="10" defaultRowHeight="15" x14ac:dyDescent="0.2"/>
  <cols>
    <col min="1" max="1" width="3" customWidth="1"/>
    <col min="4" max="4" width="39.6640625" bestFit="1" customWidth="1"/>
    <col min="7" max="7" width="4.33203125" customWidth="1"/>
    <col min="10" max="10" width="45.33203125" bestFit="1" customWidth="1"/>
    <col min="12" max="12" width="3.5" customWidth="1"/>
  </cols>
  <sheetData>
    <row r="1" spans="2:14" ht="4" customHeight="1" thickBot="1" x14ac:dyDescent="0.25"/>
    <row r="2" spans="2:14" ht="16" thickBot="1" x14ac:dyDescent="0.25">
      <c r="B2" s="74" t="s">
        <v>32</v>
      </c>
      <c r="C2" s="10" t="s">
        <v>11</v>
      </c>
      <c r="D2" s="11" t="s">
        <v>15</v>
      </c>
      <c r="E2" s="11" t="s">
        <v>12</v>
      </c>
      <c r="F2" s="12" t="s">
        <v>13</v>
      </c>
      <c r="H2" s="75" t="s">
        <v>33</v>
      </c>
      <c r="I2" s="10" t="s">
        <v>11</v>
      </c>
      <c r="J2" s="11" t="s">
        <v>15</v>
      </c>
      <c r="K2" s="12" t="s">
        <v>48</v>
      </c>
      <c r="M2" s="34" t="s">
        <v>59</v>
      </c>
    </row>
    <row r="3" spans="2:14" x14ac:dyDescent="0.2">
      <c r="B3" s="195" t="s">
        <v>5</v>
      </c>
      <c r="C3" s="13">
        <v>46024</v>
      </c>
      <c r="D3" s="8" t="s">
        <v>379</v>
      </c>
      <c r="E3" s="9">
        <v>2000000</v>
      </c>
      <c r="F3" s="14"/>
      <c r="H3" s="195" t="s">
        <v>5</v>
      </c>
      <c r="I3" s="13">
        <v>46024</v>
      </c>
      <c r="J3" s="30" t="s">
        <v>405</v>
      </c>
      <c r="K3" s="14">
        <v>22000</v>
      </c>
      <c r="M3" s="198">
        <f>+E32-K32</f>
        <v>-1328445.5599999987</v>
      </c>
    </row>
    <row r="4" spans="2:14" x14ac:dyDescent="0.2">
      <c r="B4" s="196"/>
      <c r="C4" s="13">
        <v>46027</v>
      </c>
      <c r="D4" s="8" t="s">
        <v>382</v>
      </c>
      <c r="E4" s="9">
        <v>828315</v>
      </c>
      <c r="F4" s="14"/>
      <c r="H4" s="196"/>
      <c r="I4" s="13">
        <v>46024</v>
      </c>
      <c r="J4" s="7" t="s">
        <v>373</v>
      </c>
      <c r="K4" s="14">
        <v>391220</v>
      </c>
      <c r="M4" s="199"/>
    </row>
    <row r="5" spans="2:14" x14ac:dyDescent="0.2">
      <c r="B5" s="196"/>
      <c r="C5" s="13">
        <v>46030</v>
      </c>
      <c r="D5" s="8" t="s">
        <v>379</v>
      </c>
      <c r="E5" s="9">
        <v>1800000</v>
      </c>
      <c r="F5" s="14"/>
      <c r="H5" s="196"/>
      <c r="I5" s="13">
        <v>46024</v>
      </c>
      <c r="J5" s="7" t="s">
        <v>377</v>
      </c>
      <c r="K5" s="14">
        <v>87400</v>
      </c>
      <c r="M5" s="199"/>
    </row>
    <row r="6" spans="2:14" x14ac:dyDescent="0.2">
      <c r="B6" s="196"/>
      <c r="C6" s="13">
        <v>46030</v>
      </c>
      <c r="D6" s="8" t="s">
        <v>386</v>
      </c>
      <c r="E6" s="9">
        <v>200000</v>
      </c>
      <c r="F6" s="14"/>
      <c r="G6" s="5"/>
      <c r="H6" s="196"/>
      <c r="I6" s="13">
        <v>46024</v>
      </c>
      <c r="J6" s="7" t="s">
        <v>378</v>
      </c>
      <c r="K6" s="14">
        <v>87400</v>
      </c>
      <c r="M6" s="199"/>
    </row>
    <row r="7" spans="2:14" x14ac:dyDescent="0.2">
      <c r="B7" s="196"/>
      <c r="C7" s="13">
        <v>46034</v>
      </c>
      <c r="D7" s="8" t="s">
        <v>387</v>
      </c>
      <c r="E7" s="9">
        <v>475000</v>
      </c>
      <c r="F7" s="14"/>
      <c r="G7" s="5"/>
      <c r="H7" s="196"/>
      <c r="I7" s="13">
        <v>46024</v>
      </c>
      <c r="J7" s="7" t="s">
        <v>380</v>
      </c>
      <c r="K7" s="14">
        <f>3800000*0.2</f>
        <v>760000</v>
      </c>
      <c r="M7" s="199"/>
    </row>
    <row r="8" spans="2:14" x14ac:dyDescent="0.2">
      <c r="B8" s="196"/>
      <c r="C8" s="13">
        <v>46035</v>
      </c>
      <c r="D8" s="8" t="s">
        <v>386</v>
      </c>
      <c r="E8" s="9">
        <v>-200000</v>
      </c>
      <c r="F8" s="14"/>
      <c r="G8" s="5"/>
      <c r="H8" s="196"/>
      <c r="I8" s="13">
        <v>46024</v>
      </c>
      <c r="J8" s="7" t="s">
        <v>381</v>
      </c>
      <c r="K8" s="14">
        <v>927500</v>
      </c>
      <c r="M8" s="199"/>
    </row>
    <row r="9" spans="2:14" x14ac:dyDescent="0.2">
      <c r="B9" s="196"/>
      <c r="C9" s="13">
        <v>46037</v>
      </c>
      <c r="D9" s="8" t="s">
        <v>395</v>
      </c>
      <c r="E9" s="9">
        <v>475000</v>
      </c>
      <c r="F9" s="14"/>
      <c r="G9" s="5"/>
      <c r="H9" s="196"/>
      <c r="I9" s="13">
        <v>46027</v>
      </c>
      <c r="J9" s="7" t="s">
        <v>60</v>
      </c>
      <c r="K9" s="14">
        <v>180000</v>
      </c>
      <c r="M9" s="199"/>
    </row>
    <row r="10" spans="2:14" x14ac:dyDescent="0.2">
      <c r="B10" s="196"/>
      <c r="C10" s="13">
        <v>46038</v>
      </c>
      <c r="D10" s="8" t="s">
        <v>396</v>
      </c>
      <c r="E10" s="9">
        <v>1000000</v>
      </c>
      <c r="F10" s="14"/>
      <c r="G10" s="5"/>
      <c r="H10" s="196"/>
      <c r="I10" s="13">
        <v>46027</v>
      </c>
      <c r="J10" s="7" t="s">
        <v>383</v>
      </c>
      <c r="K10" s="14">
        <v>100000</v>
      </c>
      <c r="M10" s="199"/>
    </row>
    <row r="11" spans="2:14" x14ac:dyDescent="0.2">
      <c r="B11" s="196"/>
      <c r="C11" s="13">
        <v>46042</v>
      </c>
      <c r="D11" s="8" t="s">
        <v>400</v>
      </c>
      <c r="E11" s="9">
        <v>711577</v>
      </c>
      <c r="F11" s="14"/>
      <c r="H11" s="196"/>
      <c r="I11" s="13">
        <v>46027</v>
      </c>
      <c r="J11" s="7" t="s">
        <v>384</v>
      </c>
      <c r="K11" s="14">
        <v>100000</v>
      </c>
      <c r="M11" s="199"/>
    </row>
    <row r="12" spans="2:14" x14ac:dyDescent="0.2">
      <c r="B12" s="196"/>
      <c r="C12" s="29">
        <v>46044</v>
      </c>
      <c r="D12" s="8" t="s">
        <v>387</v>
      </c>
      <c r="E12" s="9">
        <v>475000</v>
      </c>
      <c r="F12" s="14"/>
      <c r="H12" s="196"/>
      <c r="I12" s="29">
        <v>46028</v>
      </c>
      <c r="J12" s="30" t="s">
        <v>340</v>
      </c>
      <c r="K12" s="32">
        <v>349200</v>
      </c>
      <c r="M12" s="199"/>
    </row>
    <row r="13" spans="2:14" x14ac:dyDescent="0.2">
      <c r="B13" s="196"/>
      <c r="C13" s="29">
        <v>46044</v>
      </c>
      <c r="D13" s="8" t="s">
        <v>403</v>
      </c>
      <c r="E13" s="31">
        <v>200000</v>
      </c>
      <c r="F13" s="14"/>
      <c r="H13" s="196"/>
      <c r="I13" s="29">
        <v>46031</v>
      </c>
      <c r="J13" s="30" t="s">
        <v>385</v>
      </c>
      <c r="K13" s="32">
        <v>210000</v>
      </c>
      <c r="M13" s="199"/>
    </row>
    <row r="14" spans="2:14" x14ac:dyDescent="0.2">
      <c r="B14" s="196"/>
      <c r="C14" s="29">
        <v>46048</v>
      </c>
      <c r="D14" s="8" t="s">
        <v>403</v>
      </c>
      <c r="E14" s="31">
        <v>-200000</v>
      </c>
      <c r="F14" s="14"/>
      <c r="H14" s="196"/>
      <c r="I14" s="29">
        <v>46032</v>
      </c>
      <c r="J14" s="30" t="s">
        <v>362</v>
      </c>
      <c r="K14" s="32">
        <v>738970</v>
      </c>
      <c r="M14" s="199"/>
    </row>
    <row r="15" spans="2:14" x14ac:dyDescent="0.2">
      <c r="B15" s="196"/>
      <c r="C15" s="29">
        <v>46053</v>
      </c>
      <c r="D15" s="8" t="s">
        <v>395</v>
      </c>
      <c r="E15" s="31">
        <f>475000+125000</f>
        <v>600000</v>
      </c>
      <c r="F15" s="14"/>
      <c r="H15" s="196"/>
      <c r="I15" s="29">
        <v>46034</v>
      </c>
      <c r="J15" s="30" t="s">
        <v>388</v>
      </c>
      <c r="K15" s="32">
        <v>569848.22</v>
      </c>
      <c r="M15" s="199"/>
      <c r="N15" s="5"/>
    </row>
    <row r="16" spans="2:14" x14ac:dyDescent="0.2">
      <c r="B16" s="196"/>
      <c r="C16" s="29">
        <v>46053</v>
      </c>
      <c r="D16" s="8" t="s">
        <v>409</v>
      </c>
      <c r="E16" s="31">
        <v>200000</v>
      </c>
      <c r="F16" s="32"/>
      <c r="H16" s="196"/>
      <c r="I16" s="29">
        <v>46035</v>
      </c>
      <c r="J16" s="30" t="s">
        <v>389</v>
      </c>
      <c r="K16" s="32">
        <v>170000</v>
      </c>
      <c r="M16" s="199"/>
      <c r="N16" s="5"/>
    </row>
    <row r="17" spans="2:14" x14ac:dyDescent="0.2">
      <c r="B17" s="196"/>
      <c r="C17" s="29"/>
      <c r="D17" s="30"/>
      <c r="E17" s="31"/>
      <c r="F17" s="32"/>
      <c r="H17" s="196"/>
      <c r="I17" s="29">
        <v>46036</v>
      </c>
      <c r="J17" s="30" t="s">
        <v>393</v>
      </c>
      <c r="K17" s="32">
        <v>216000</v>
      </c>
      <c r="M17" s="199"/>
      <c r="N17" s="5"/>
    </row>
    <row r="18" spans="2:14" x14ac:dyDescent="0.2">
      <c r="B18" s="196"/>
      <c r="C18" s="29"/>
      <c r="D18" s="30"/>
      <c r="E18" s="31"/>
      <c r="F18" s="32"/>
      <c r="H18" s="196"/>
      <c r="I18" s="29">
        <v>46037</v>
      </c>
      <c r="J18" s="30" t="s">
        <v>392</v>
      </c>
      <c r="K18" s="32">
        <v>875453</v>
      </c>
      <c r="M18" s="199"/>
      <c r="N18" s="5"/>
    </row>
    <row r="19" spans="2:14" x14ac:dyDescent="0.2">
      <c r="B19" s="196"/>
      <c r="C19" s="29"/>
      <c r="D19" s="30"/>
      <c r="E19" s="31"/>
      <c r="F19" s="32"/>
      <c r="H19" s="196"/>
      <c r="I19" s="29">
        <v>46038</v>
      </c>
      <c r="J19" s="30" t="s">
        <v>394</v>
      </c>
      <c r="K19" s="32">
        <v>299285</v>
      </c>
      <c r="M19" s="199"/>
      <c r="N19" s="5"/>
    </row>
    <row r="20" spans="2:14" x14ac:dyDescent="0.2">
      <c r="B20" s="196"/>
      <c r="C20" s="29"/>
      <c r="D20" s="30"/>
      <c r="E20" s="31"/>
      <c r="F20" s="32"/>
      <c r="H20" s="196"/>
      <c r="I20" s="29">
        <v>46038</v>
      </c>
      <c r="J20" s="7" t="s">
        <v>398</v>
      </c>
      <c r="K20" s="32">
        <v>380000</v>
      </c>
      <c r="M20" s="199"/>
      <c r="N20" s="5"/>
    </row>
    <row r="21" spans="2:14" x14ac:dyDescent="0.2">
      <c r="B21" s="196"/>
      <c r="C21" s="29"/>
      <c r="D21" s="30"/>
      <c r="E21" s="31"/>
      <c r="F21" s="32"/>
      <c r="H21" s="196"/>
      <c r="I21" s="29">
        <v>46038</v>
      </c>
      <c r="J21" s="30" t="s">
        <v>399</v>
      </c>
      <c r="K21" s="32">
        <v>95000</v>
      </c>
      <c r="M21" s="199"/>
      <c r="N21" s="5"/>
    </row>
    <row r="22" spans="2:14" x14ac:dyDescent="0.2">
      <c r="B22" s="196"/>
      <c r="C22" s="29"/>
      <c r="D22" s="30"/>
      <c r="E22" s="31"/>
      <c r="F22" s="32"/>
      <c r="H22" s="196"/>
      <c r="I22" s="29">
        <v>46043</v>
      </c>
      <c r="J22" s="30" t="s">
        <v>401</v>
      </c>
      <c r="K22" s="32">
        <v>454020</v>
      </c>
      <c r="M22" s="199"/>
      <c r="N22" s="5"/>
    </row>
    <row r="23" spans="2:14" x14ac:dyDescent="0.2">
      <c r="B23" s="196"/>
      <c r="C23" s="29"/>
      <c r="D23" s="30"/>
      <c r="E23" s="31"/>
      <c r="F23" s="32"/>
      <c r="H23" s="196"/>
      <c r="I23" s="29">
        <v>46042</v>
      </c>
      <c r="J23" s="30" t="s">
        <v>2</v>
      </c>
      <c r="K23" s="32">
        <v>51500</v>
      </c>
      <c r="M23" s="199"/>
      <c r="N23" s="5"/>
    </row>
    <row r="24" spans="2:14" x14ac:dyDescent="0.2">
      <c r="B24" s="196"/>
      <c r="C24" s="29"/>
      <c r="D24" s="30"/>
      <c r="E24" s="31"/>
      <c r="F24" s="32"/>
      <c r="H24" s="196"/>
      <c r="I24" s="29">
        <v>46044</v>
      </c>
      <c r="J24" s="30" t="s">
        <v>402</v>
      </c>
      <c r="K24" s="32">
        <v>90000</v>
      </c>
      <c r="M24" s="199"/>
      <c r="N24" s="5"/>
    </row>
    <row r="25" spans="2:14" x14ac:dyDescent="0.2">
      <c r="B25" s="196"/>
      <c r="C25" s="29"/>
      <c r="D25" s="30"/>
      <c r="E25" s="31"/>
      <c r="F25" s="32"/>
      <c r="H25" s="196"/>
      <c r="I25" s="29">
        <v>46044</v>
      </c>
      <c r="J25" s="30" t="s">
        <v>404</v>
      </c>
      <c r="K25" s="32">
        <v>98000</v>
      </c>
      <c r="M25" s="199"/>
      <c r="N25" s="5"/>
    </row>
    <row r="26" spans="2:14" x14ac:dyDescent="0.2">
      <c r="B26" s="196"/>
      <c r="C26" s="29"/>
      <c r="D26" s="30"/>
      <c r="E26" s="31"/>
      <c r="F26" s="32"/>
      <c r="H26" s="196"/>
      <c r="I26" s="29">
        <v>46045</v>
      </c>
      <c r="J26" s="30" t="s">
        <v>406</v>
      </c>
      <c r="K26" s="32">
        <v>450000</v>
      </c>
      <c r="M26" s="199"/>
      <c r="N26" s="5"/>
    </row>
    <row r="27" spans="2:14" x14ac:dyDescent="0.2">
      <c r="B27" s="196"/>
      <c r="C27" s="29"/>
      <c r="D27" s="30"/>
      <c r="E27" s="31"/>
      <c r="F27" s="32"/>
      <c r="H27" s="196"/>
      <c r="I27" s="29">
        <v>46052</v>
      </c>
      <c r="J27" s="30" t="s">
        <v>407</v>
      </c>
      <c r="K27" s="32">
        <v>875453</v>
      </c>
      <c r="M27" s="199"/>
      <c r="N27" s="5"/>
    </row>
    <row r="28" spans="2:14" x14ac:dyDescent="0.2">
      <c r="B28" s="196"/>
      <c r="C28" s="29"/>
      <c r="D28" s="30"/>
      <c r="E28" s="31"/>
      <c r="F28" s="32"/>
      <c r="H28" s="196"/>
      <c r="I28" s="29">
        <v>46052</v>
      </c>
      <c r="J28" s="30" t="s">
        <v>408</v>
      </c>
      <c r="K28" s="32">
        <v>758732</v>
      </c>
      <c r="M28" s="199"/>
      <c r="N28" s="5"/>
    </row>
    <row r="29" spans="2:14" x14ac:dyDescent="0.2">
      <c r="B29" s="196"/>
      <c r="C29" s="29"/>
      <c r="D29" s="30"/>
      <c r="E29" s="31"/>
      <c r="F29" s="32"/>
      <c r="H29" s="196"/>
      <c r="I29" s="29">
        <v>46053</v>
      </c>
      <c r="J29" s="30" t="s">
        <v>410</v>
      </c>
      <c r="K29" s="32">
        <v>125000</v>
      </c>
      <c r="M29" s="199"/>
      <c r="N29" s="5"/>
    </row>
    <row r="30" spans="2:14" x14ac:dyDescent="0.2">
      <c r="B30" s="196"/>
      <c r="C30" s="29"/>
      <c r="D30" s="30"/>
      <c r="E30" s="31"/>
      <c r="F30" s="32"/>
      <c r="H30" s="196"/>
      <c r="I30" s="29">
        <v>46053</v>
      </c>
      <c r="J30" s="30" t="s">
        <v>412</v>
      </c>
      <c r="K30" s="32">
        <v>357700</v>
      </c>
      <c r="M30" s="199"/>
      <c r="N30" s="5"/>
    </row>
    <row r="31" spans="2:14" x14ac:dyDescent="0.2">
      <c r="B31" s="196"/>
      <c r="C31" s="29"/>
      <c r="D31" s="30"/>
      <c r="E31" s="31"/>
      <c r="F31" s="32"/>
      <c r="H31" s="196"/>
      <c r="I31" s="29">
        <v>46053</v>
      </c>
      <c r="J31" s="30" t="s">
        <v>3</v>
      </c>
      <c r="K31" s="32">
        <v>73656.34</v>
      </c>
      <c r="M31" s="199"/>
      <c r="N31" s="5"/>
    </row>
    <row r="32" spans="2:14" ht="16" thickBot="1" x14ac:dyDescent="0.25">
      <c r="B32" s="197"/>
      <c r="C32" s="16"/>
      <c r="D32" s="33" t="s">
        <v>14</v>
      </c>
      <c r="E32" s="18">
        <f>SUM(E3:E31)</f>
        <v>8564892</v>
      </c>
      <c r="F32" s="17"/>
      <c r="H32" s="197"/>
      <c r="I32" s="16"/>
      <c r="J32" s="33" t="s">
        <v>34</v>
      </c>
      <c r="K32" s="19">
        <f>SUM(K3:K31)</f>
        <v>9893337.5599999987</v>
      </c>
      <c r="M32" s="200"/>
      <c r="N32" s="28">
        <f>+M3-'ESTADO DE RESULTADO'!C79</f>
        <v>-462457.91999999993</v>
      </c>
    </row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6" ht="15" customHeight="1" x14ac:dyDescent="0.2"/>
    <row r="47" ht="15" customHeight="1" x14ac:dyDescent="0.2"/>
    <row r="48" ht="16" customHeight="1" x14ac:dyDescent="0.2"/>
  </sheetData>
  <mergeCells count="3">
    <mergeCell ref="B3:B32"/>
    <mergeCell ref="H3:H32"/>
    <mergeCell ref="M3:M32"/>
  </mergeCells>
  <pageMargins left="0.7" right="0.7" top="0.75" bottom="0.75" header="0.3" footer="0.3"/>
  <pageSetup scale="59" fitToHeight="8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B1:N222"/>
  <sheetViews>
    <sheetView view="pageLayout" topLeftCell="A173" zoomScale="120" zoomScalePageLayoutView="120" workbookViewId="0">
      <selection activeCell="K200" activeCellId="1" sqref="K198 K200"/>
    </sheetView>
  </sheetViews>
  <sheetFormatPr baseColWidth="10" defaultRowHeight="15" x14ac:dyDescent="0.2"/>
  <cols>
    <col min="1" max="1" width="1.83203125" customWidth="1"/>
    <col min="2" max="2" width="10.5" bestFit="1" customWidth="1"/>
    <col min="3" max="3" width="6.83203125" bestFit="1" customWidth="1"/>
    <col min="4" max="4" width="37.33203125" customWidth="1"/>
    <col min="5" max="5" width="11" bestFit="1" customWidth="1"/>
    <col min="6" max="6" width="17.1640625" customWidth="1"/>
    <col min="7" max="7" width="4.5" customWidth="1"/>
    <col min="8" max="8" width="10.5" bestFit="1" customWidth="1"/>
    <col min="9" max="9" width="6.83203125" bestFit="1" customWidth="1"/>
    <col min="10" max="10" width="41.33203125" bestFit="1" customWidth="1"/>
    <col min="11" max="11" width="13.1640625" customWidth="1"/>
    <col min="12" max="12" width="6.6640625" customWidth="1"/>
    <col min="14" max="14" width="10.6640625" bestFit="1" customWidth="1"/>
  </cols>
  <sheetData>
    <row r="1" spans="2:14" ht="16" thickBot="1" x14ac:dyDescent="0.25">
      <c r="B1" s="74" t="s">
        <v>32</v>
      </c>
      <c r="C1" s="10" t="s">
        <v>11</v>
      </c>
      <c r="D1" s="11" t="s">
        <v>15</v>
      </c>
      <c r="E1" s="11" t="s">
        <v>12</v>
      </c>
      <c r="F1" s="12" t="s">
        <v>13</v>
      </c>
      <c r="H1" s="75" t="s">
        <v>33</v>
      </c>
      <c r="I1" s="10" t="s">
        <v>11</v>
      </c>
      <c r="J1" s="11" t="s">
        <v>15</v>
      </c>
      <c r="K1" s="12" t="s">
        <v>48</v>
      </c>
      <c r="M1" s="34" t="s">
        <v>59</v>
      </c>
    </row>
    <row r="2" spans="2:14" x14ac:dyDescent="0.2">
      <c r="B2" s="195" t="s">
        <v>5</v>
      </c>
      <c r="C2" s="13">
        <v>45659</v>
      </c>
      <c r="D2" s="8" t="s">
        <v>87</v>
      </c>
      <c r="E2" s="9">
        <v>450000</v>
      </c>
      <c r="F2" s="14"/>
      <c r="H2" s="195" t="s">
        <v>5</v>
      </c>
      <c r="I2" s="13">
        <v>45659</v>
      </c>
      <c r="J2" s="7" t="s">
        <v>129</v>
      </c>
      <c r="K2" s="14">
        <v>180000</v>
      </c>
      <c r="M2" s="198">
        <f>+E10-K10</f>
        <v>46501.75</v>
      </c>
    </row>
    <row r="3" spans="2:14" x14ac:dyDescent="0.2">
      <c r="B3" s="196"/>
      <c r="C3" s="13">
        <v>45659</v>
      </c>
      <c r="D3" s="8" t="s">
        <v>130</v>
      </c>
      <c r="E3" s="9">
        <v>200000</v>
      </c>
      <c r="F3" s="14"/>
      <c r="H3" s="196"/>
      <c r="I3" s="13">
        <v>45677</v>
      </c>
      <c r="J3" s="7" t="s">
        <v>2</v>
      </c>
      <c r="K3" s="14">
        <v>51500</v>
      </c>
      <c r="M3" s="199"/>
    </row>
    <row r="4" spans="2:14" x14ac:dyDescent="0.2">
      <c r="B4" s="196"/>
      <c r="C4" s="13">
        <v>45661</v>
      </c>
      <c r="D4" s="8" t="s">
        <v>130</v>
      </c>
      <c r="E4" s="9">
        <v>-200000</v>
      </c>
      <c r="F4" s="14"/>
      <c r="H4" s="196"/>
      <c r="I4" s="13">
        <v>45677</v>
      </c>
      <c r="J4" s="7" t="s">
        <v>44</v>
      </c>
      <c r="K4" s="14">
        <v>265900</v>
      </c>
      <c r="M4" s="199"/>
    </row>
    <row r="5" spans="2:14" x14ac:dyDescent="0.2">
      <c r="B5" s="196"/>
      <c r="C5" s="13">
        <v>45669</v>
      </c>
      <c r="D5" s="8" t="s">
        <v>131</v>
      </c>
      <c r="E5" s="9">
        <v>100000</v>
      </c>
      <c r="F5" s="14"/>
      <c r="G5" s="5"/>
      <c r="H5" s="196"/>
      <c r="I5" s="13">
        <v>45678</v>
      </c>
      <c r="J5" s="7" t="s">
        <v>133</v>
      </c>
      <c r="K5" s="14">
        <v>750000</v>
      </c>
      <c r="M5" s="199"/>
    </row>
    <row r="6" spans="2:14" x14ac:dyDescent="0.2">
      <c r="B6" s="196"/>
      <c r="C6" s="13">
        <v>45671</v>
      </c>
      <c r="D6" s="7" t="s">
        <v>98</v>
      </c>
      <c r="E6" s="9">
        <v>120000</v>
      </c>
      <c r="F6" s="14"/>
      <c r="G6" s="5"/>
      <c r="H6" s="196"/>
      <c r="I6" s="13">
        <v>45681</v>
      </c>
      <c r="J6" s="7" t="s">
        <v>135</v>
      </c>
      <c r="K6" s="14">
        <f>77900+35000</f>
        <v>112900</v>
      </c>
      <c r="M6" s="199"/>
    </row>
    <row r="7" spans="2:14" x14ac:dyDescent="0.2">
      <c r="B7" s="196"/>
      <c r="C7" s="13">
        <v>45678</v>
      </c>
      <c r="D7" s="7" t="s">
        <v>132</v>
      </c>
      <c r="E7" s="9">
        <v>811411</v>
      </c>
      <c r="F7" s="14"/>
      <c r="G7" s="5"/>
      <c r="H7" s="196"/>
      <c r="I7" s="13">
        <v>45687</v>
      </c>
      <c r="J7" s="7" t="s">
        <v>139</v>
      </c>
      <c r="K7" s="14">
        <v>750000</v>
      </c>
      <c r="M7" s="199"/>
    </row>
    <row r="8" spans="2:14" x14ac:dyDescent="0.2">
      <c r="B8" s="196"/>
      <c r="C8" s="13">
        <v>45684</v>
      </c>
      <c r="D8" s="7" t="s">
        <v>137</v>
      </c>
      <c r="E8" s="9">
        <v>764047</v>
      </c>
      <c r="F8" s="14"/>
      <c r="H8" s="196"/>
      <c r="I8" s="13">
        <v>45688</v>
      </c>
      <c r="J8" s="7" t="s">
        <v>146</v>
      </c>
      <c r="K8" s="14">
        <v>400000</v>
      </c>
      <c r="M8" s="199"/>
    </row>
    <row r="9" spans="2:14" x14ac:dyDescent="0.2">
      <c r="B9" s="196"/>
      <c r="C9" s="29">
        <v>45688</v>
      </c>
      <c r="D9" s="30" t="s">
        <v>147</v>
      </c>
      <c r="E9" s="31">
        <v>350000</v>
      </c>
      <c r="F9" s="14"/>
      <c r="H9" s="196"/>
      <c r="I9" s="29">
        <v>45688</v>
      </c>
      <c r="J9" s="30" t="s">
        <v>3</v>
      </c>
      <c r="K9" s="32">
        <v>38656.25</v>
      </c>
      <c r="M9" s="199"/>
      <c r="N9" s="5"/>
    </row>
    <row r="10" spans="2:14" ht="16" thickBot="1" x14ac:dyDescent="0.25">
      <c r="B10" s="197"/>
      <c r="C10" s="16"/>
      <c r="D10" s="33" t="s">
        <v>14</v>
      </c>
      <c r="E10" s="18">
        <f>SUM(E2:E9)</f>
        <v>2595458</v>
      </c>
      <c r="F10" s="17"/>
      <c r="H10" s="197"/>
      <c r="I10" s="16"/>
      <c r="J10" s="33" t="s">
        <v>34</v>
      </c>
      <c r="K10" s="19">
        <f>SUM(K2:K9)</f>
        <v>2548956.25</v>
      </c>
      <c r="M10" s="200"/>
      <c r="N10" s="28">
        <f>+M2-'ESTADO DE RESULTADO'!C47</f>
        <v>-277102.33999999939</v>
      </c>
    </row>
    <row r="11" spans="2:14" ht="16" thickBot="1" x14ac:dyDescent="0.25">
      <c r="D11" s="76"/>
      <c r="E11" s="77"/>
      <c r="F11" s="5"/>
    </row>
    <row r="12" spans="2:14" ht="16" thickBot="1" x14ac:dyDescent="0.25">
      <c r="B12" s="74" t="s">
        <v>32</v>
      </c>
      <c r="C12" s="10" t="s">
        <v>11</v>
      </c>
      <c r="D12" s="11" t="s">
        <v>15</v>
      </c>
      <c r="E12" s="11" t="s">
        <v>12</v>
      </c>
      <c r="F12" s="12" t="s">
        <v>13</v>
      </c>
      <c r="H12" s="75" t="s">
        <v>33</v>
      </c>
      <c r="I12" s="10" t="s">
        <v>11</v>
      </c>
      <c r="J12" s="11" t="s">
        <v>15</v>
      </c>
      <c r="K12" s="12" t="s">
        <v>48</v>
      </c>
      <c r="M12" s="34" t="s">
        <v>59</v>
      </c>
    </row>
    <row r="13" spans="2:14" x14ac:dyDescent="0.2">
      <c r="B13" s="195" t="s">
        <v>78</v>
      </c>
      <c r="C13" s="13">
        <v>45689</v>
      </c>
      <c r="D13" s="7" t="s">
        <v>147</v>
      </c>
      <c r="E13" s="9">
        <v>350000</v>
      </c>
      <c r="F13" s="14"/>
      <c r="H13" s="195" t="s">
        <v>78</v>
      </c>
      <c r="I13" s="13">
        <v>45689</v>
      </c>
      <c r="J13" s="7" t="s">
        <v>149</v>
      </c>
      <c r="K13" s="14">
        <f>+(E9+E13)*0.2</f>
        <v>140000</v>
      </c>
      <c r="M13" s="198">
        <f>+E23-K23</f>
        <v>-955527.87000000011</v>
      </c>
    </row>
    <row r="14" spans="2:14" x14ac:dyDescent="0.2">
      <c r="B14" s="196"/>
      <c r="C14" s="13">
        <v>45689</v>
      </c>
      <c r="D14" s="7" t="s">
        <v>148</v>
      </c>
      <c r="E14" s="9">
        <v>200000</v>
      </c>
      <c r="F14" s="14"/>
      <c r="H14" s="196"/>
      <c r="I14" s="13">
        <v>45694</v>
      </c>
      <c r="J14" s="7" t="s">
        <v>56</v>
      </c>
      <c r="K14" s="14">
        <v>367817</v>
      </c>
      <c r="M14" s="199"/>
    </row>
    <row r="15" spans="2:14" x14ac:dyDescent="0.2">
      <c r="B15" s="196"/>
      <c r="C15" s="13">
        <v>45690</v>
      </c>
      <c r="D15" s="7" t="s">
        <v>148</v>
      </c>
      <c r="E15" s="9">
        <v>-200000</v>
      </c>
      <c r="F15" s="14"/>
      <c r="H15" s="196"/>
      <c r="I15" s="13">
        <v>45704</v>
      </c>
      <c r="J15" s="7" t="s">
        <v>153</v>
      </c>
      <c r="K15" s="14">
        <v>750000</v>
      </c>
      <c r="M15" s="199"/>
    </row>
    <row r="16" spans="2:14" x14ac:dyDescent="0.2">
      <c r="B16" s="196"/>
      <c r="C16" s="13">
        <v>45693</v>
      </c>
      <c r="D16" s="7" t="s">
        <v>163</v>
      </c>
      <c r="E16" s="9">
        <v>200000</v>
      </c>
      <c r="F16" s="14"/>
      <c r="H16" s="196"/>
      <c r="I16" s="13">
        <v>45708</v>
      </c>
      <c r="J16" s="7" t="s">
        <v>156</v>
      </c>
      <c r="K16" s="14">
        <v>51500</v>
      </c>
      <c r="M16" s="199"/>
    </row>
    <row r="17" spans="2:14" x14ac:dyDescent="0.2">
      <c r="B17" s="196"/>
      <c r="C17" s="13">
        <v>45698</v>
      </c>
      <c r="D17" s="7" t="s">
        <v>152</v>
      </c>
      <c r="E17" s="9">
        <v>816108</v>
      </c>
      <c r="F17" s="14"/>
      <c r="H17" s="196"/>
      <c r="I17" s="13">
        <v>45712</v>
      </c>
      <c r="J17" s="7" t="s">
        <v>18</v>
      </c>
      <c r="K17" s="14">
        <v>1031790</v>
      </c>
      <c r="M17" s="199"/>
    </row>
    <row r="18" spans="2:14" x14ac:dyDescent="0.2">
      <c r="B18" s="196"/>
      <c r="C18" s="13">
        <v>45702</v>
      </c>
      <c r="D18" s="7" t="s">
        <v>98</v>
      </c>
      <c r="E18" s="9">
        <v>145000</v>
      </c>
      <c r="F18" s="14"/>
      <c r="H18" s="196"/>
      <c r="I18" s="13">
        <v>45716</v>
      </c>
      <c r="J18" s="7" t="s">
        <v>161</v>
      </c>
      <c r="K18" s="14">
        <v>750000</v>
      </c>
      <c r="M18" s="199"/>
    </row>
    <row r="19" spans="2:14" x14ac:dyDescent="0.2">
      <c r="B19" s="196"/>
      <c r="C19" s="13">
        <v>45708</v>
      </c>
      <c r="D19" s="7" t="s">
        <v>155</v>
      </c>
      <c r="E19" s="9">
        <v>400000</v>
      </c>
      <c r="F19" s="14"/>
      <c r="H19" s="196"/>
      <c r="I19" s="13">
        <v>45716</v>
      </c>
      <c r="J19" s="7" t="s">
        <v>162</v>
      </c>
      <c r="K19" s="14">
        <v>400000</v>
      </c>
      <c r="M19" s="199"/>
    </row>
    <row r="20" spans="2:14" x14ac:dyDescent="0.2">
      <c r="B20" s="196"/>
      <c r="C20" s="29">
        <v>45712</v>
      </c>
      <c r="D20" s="30" t="s">
        <v>157</v>
      </c>
      <c r="E20" s="31">
        <v>842028</v>
      </c>
      <c r="F20" s="32"/>
      <c r="H20" s="196"/>
      <c r="I20" s="29">
        <v>45716</v>
      </c>
      <c r="J20" s="30" t="s">
        <v>164</v>
      </c>
      <c r="K20" s="32">
        <v>591003</v>
      </c>
      <c r="M20" s="199"/>
    </row>
    <row r="21" spans="2:14" x14ac:dyDescent="0.2">
      <c r="B21" s="196"/>
      <c r="C21" s="29">
        <v>45715</v>
      </c>
      <c r="D21" s="7" t="s">
        <v>155</v>
      </c>
      <c r="E21" s="9">
        <v>400000</v>
      </c>
      <c r="F21" s="32"/>
      <c r="H21" s="196"/>
      <c r="I21" s="29">
        <v>45716</v>
      </c>
      <c r="J21" s="30" t="s">
        <v>165</v>
      </c>
      <c r="K21" s="32">
        <v>187900</v>
      </c>
      <c r="M21" s="199"/>
    </row>
    <row r="22" spans="2:14" x14ac:dyDescent="0.2">
      <c r="B22" s="196"/>
      <c r="C22" s="29">
        <v>45716</v>
      </c>
      <c r="D22" s="7" t="s">
        <v>163</v>
      </c>
      <c r="E22" s="9">
        <v>200000</v>
      </c>
      <c r="F22" s="32"/>
      <c r="H22" s="196"/>
      <c r="I22" s="29">
        <v>45716</v>
      </c>
      <c r="J22" s="30" t="s">
        <v>3</v>
      </c>
      <c r="K22" s="32">
        <v>38653.870000000003</v>
      </c>
      <c r="M22" s="199"/>
    </row>
    <row r="23" spans="2:14" ht="16" thickBot="1" x14ac:dyDescent="0.25">
      <c r="B23" s="197"/>
      <c r="C23" s="16"/>
      <c r="D23" s="33" t="s">
        <v>14</v>
      </c>
      <c r="E23" s="18">
        <f>SUM(E13:E22)</f>
        <v>3353136</v>
      </c>
      <c r="F23" s="17"/>
      <c r="H23" s="197"/>
      <c r="I23" s="16"/>
      <c r="J23" s="33" t="s">
        <v>34</v>
      </c>
      <c r="K23" s="19">
        <f>SUM(K13:K22)</f>
        <v>4308663.87</v>
      </c>
      <c r="M23" s="200"/>
      <c r="N23" s="28">
        <f>+M13-'ESTADO DE RESULTADO'!D47</f>
        <v>0</v>
      </c>
    </row>
    <row r="24" spans="2:14" ht="16" thickBot="1" x14ac:dyDescent="0.25">
      <c r="D24" s="76"/>
      <c r="E24" s="77"/>
      <c r="F24" s="5"/>
    </row>
    <row r="25" spans="2:14" ht="16" thickBot="1" x14ac:dyDescent="0.25">
      <c r="B25" s="74" t="s">
        <v>32</v>
      </c>
      <c r="C25" s="10" t="s">
        <v>11</v>
      </c>
      <c r="D25" s="11" t="s">
        <v>15</v>
      </c>
      <c r="E25" s="11" t="s">
        <v>12</v>
      </c>
      <c r="F25" s="12" t="s">
        <v>13</v>
      </c>
      <c r="H25" s="75" t="s">
        <v>33</v>
      </c>
      <c r="I25" s="10" t="s">
        <v>11</v>
      </c>
      <c r="J25" s="11" t="s">
        <v>15</v>
      </c>
      <c r="K25" s="12" t="s">
        <v>48</v>
      </c>
      <c r="M25" s="79" t="s">
        <v>59</v>
      </c>
    </row>
    <row r="26" spans="2:14" ht="14" customHeight="1" x14ac:dyDescent="0.2">
      <c r="B26" s="195" t="s">
        <v>79</v>
      </c>
      <c r="C26" s="13">
        <v>45726</v>
      </c>
      <c r="D26" s="7" t="s">
        <v>189</v>
      </c>
      <c r="E26" s="9">
        <v>1850000</v>
      </c>
      <c r="F26" s="14"/>
      <c r="H26" s="195" t="s">
        <v>79</v>
      </c>
      <c r="I26" s="13">
        <v>45719</v>
      </c>
      <c r="J26" s="7" t="s">
        <v>167</v>
      </c>
      <c r="K26" s="39">
        <v>381945</v>
      </c>
      <c r="M26" s="201">
        <f>+E39-K39</f>
        <v>1195498.1600000001</v>
      </c>
    </row>
    <row r="27" spans="2:14" ht="14" customHeight="1" x14ac:dyDescent="0.2">
      <c r="B27" s="196"/>
      <c r="C27" s="13">
        <v>45730</v>
      </c>
      <c r="D27" s="7" t="s">
        <v>163</v>
      </c>
      <c r="E27" s="9">
        <v>500000</v>
      </c>
      <c r="F27" s="14"/>
      <c r="H27" s="196"/>
      <c r="I27" s="13">
        <v>45723</v>
      </c>
      <c r="J27" s="7" t="s">
        <v>166</v>
      </c>
      <c r="K27" s="39">
        <v>404700</v>
      </c>
      <c r="M27" s="199"/>
    </row>
    <row r="28" spans="2:14" ht="14" customHeight="1" x14ac:dyDescent="0.2">
      <c r="B28" s="196"/>
      <c r="C28" s="13">
        <v>45741</v>
      </c>
      <c r="D28" s="7" t="s">
        <v>173</v>
      </c>
      <c r="E28" s="9">
        <v>1658969</v>
      </c>
      <c r="F28" s="14"/>
      <c r="H28" s="196"/>
      <c r="I28" s="13">
        <v>45727</v>
      </c>
      <c r="J28" s="7" t="s">
        <v>168</v>
      </c>
      <c r="K28" s="14">
        <v>51900</v>
      </c>
      <c r="M28" s="199"/>
    </row>
    <row r="29" spans="2:14" ht="14" customHeight="1" x14ac:dyDescent="0.2">
      <c r="B29" s="196"/>
      <c r="C29" s="13">
        <v>45747</v>
      </c>
      <c r="D29" s="7" t="s">
        <v>178</v>
      </c>
      <c r="E29" s="9">
        <v>836587</v>
      </c>
      <c r="F29" s="14"/>
      <c r="H29" s="196"/>
      <c r="I29" s="13">
        <v>45727</v>
      </c>
      <c r="J29" s="7" t="s">
        <v>169</v>
      </c>
      <c r="K29" s="14">
        <v>120000</v>
      </c>
      <c r="M29" s="199"/>
    </row>
    <row r="30" spans="2:14" ht="14" customHeight="1" x14ac:dyDescent="0.2">
      <c r="B30" s="196"/>
      <c r="C30" s="13"/>
      <c r="D30" s="7"/>
      <c r="E30" s="9"/>
      <c r="F30" s="14"/>
      <c r="H30" s="196"/>
      <c r="I30" s="13">
        <v>45730</v>
      </c>
      <c r="J30" s="7" t="s">
        <v>171</v>
      </c>
      <c r="K30" s="14">
        <v>57300</v>
      </c>
      <c r="M30" s="199"/>
    </row>
    <row r="31" spans="2:14" ht="15" customHeight="1" x14ac:dyDescent="0.2">
      <c r="B31" s="196"/>
      <c r="C31" s="13"/>
      <c r="D31" s="7"/>
      <c r="E31" s="9"/>
      <c r="F31" s="14"/>
      <c r="H31" s="196"/>
      <c r="I31" s="13">
        <v>45730</v>
      </c>
      <c r="J31" s="7" t="s">
        <v>170</v>
      </c>
      <c r="K31" s="14">
        <v>180000</v>
      </c>
      <c r="M31" s="199"/>
    </row>
    <row r="32" spans="2:14" ht="14" customHeight="1" x14ac:dyDescent="0.2">
      <c r="B32" s="196"/>
      <c r="C32" s="13"/>
      <c r="D32" s="7"/>
      <c r="E32" s="9"/>
      <c r="F32" s="14"/>
      <c r="H32" s="196"/>
      <c r="I32" s="13">
        <v>45736</v>
      </c>
      <c r="J32" s="7" t="s">
        <v>172</v>
      </c>
      <c r="K32" s="14">
        <v>51500</v>
      </c>
      <c r="M32" s="199"/>
    </row>
    <row r="33" spans="2:14" ht="14" customHeight="1" x14ac:dyDescent="0.2">
      <c r="B33" s="196"/>
      <c r="C33" s="29"/>
      <c r="D33" s="30"/>
      <c r="E33" s="31"/>
      <c r="F33" s="32"/>
      <c r="H33" s="196"/>
      <c r="I33" s="29">
        <v>45741</v>
      </c>
      <c r="J33" s="30" t="s">
        <v>174</v>
      </c>
      <c r="K33" s="32">
        <v>750000</v>
      </c>
      <c r="M33" s="199"/>
    </row>
    <row r="34" spans="2:14" ht="14" customHeight="1" x14ac:dyDescent="0.2">
      <c r="B34" s="196"/>
      <c r="C34" s="29"/>
      <c r="D34" s="31"/>
      <c r="E34" s="31"/>
      <c r="F34" s="32"/>
      <c r="H34" s="196"/>
      <c r="I34" s="29">
        <v>45741</v>
      </c>
      <c r="J34" s="7" t="s">
        <v>140</v>
      </c>
      <c r="K34" s="32">
        <v>353364</v>
      </c>
      <c r="M34" s="199"/>
    </row>
    <row r="35" spans="2:14" ht="14" customHeight="1" x14ac:dyDescent="0.2">
      <c r="B35" s="196"/>
      <c r="C35" s="29"/>
      <c r="D35" s="30"/>
      <c r="E35" s="31"/>
      <c r="F35" s="32"/>
      <c r="H35" s="196"/>
      <c r="I35" s="29">
        <v>45743</v>
      </c>
      <c r="J35" s="30" t="s">
        <v>179</v>
      </c>
      <c r="K35" s="32">
        <v>102000</v>
      </c>
      <c r="M35" s="199"/>
    </row>
    <row r="36" spans="2:14" ht="14" customHeight="1" x14ac:dyDescent="0.2">
      <c r="B36" s="196"/>
      <c r="C36" s="29"/>
      <c r="D36" s="30"/>
      <c r="E36" s="31"/>
      <c r="F36" s="32"/>
      <c r="H36" s="196"/>
      <c r="I36" s="29">
        <v>45747</v>
      </c>
      <c r="J36" s="30" t="s">
        <v>175</v>
      </c>
      <c r="K36" s="32">
        <v>750000</v>
      </c>
      <c r="M36" s="199"/>
    </row>
    <row r="37" spans="2:14" ht="14" customHeight="1" x14ac:dyDescent="0.2">
      <c r="B37" s="196"/>
      <c r="C37" s="29"/>
      <c r="D37" s="30"/>
      <c r="E37" s="31"/>
      <c r="F37" s="32"/>
      <c r="H37" s="196"/>
      <c r="I37" s="29">
        <v>45747</v>
      </c>
      <c r="J37" s="7" t="s">
        <v>176</v>
      </c>
      <c r="K37" s="32">
        <v>400000</v>
      </c>
      <c r="M37" s="199"/>
    </row>
    <row r="38" spans="2:14" ht="14" customHeight="1" x14ac:dyDescent="0.2">
      <c r="B38" s="196"/>
      <c r="C38" s="29"/>
      <c r="D38" s="30"/>
      <c r="E38" s="31"/>
      <c r="F38" s="32"/>
      <c r="H38" s="196"/>
      <c r="I38" s="29">
        <v>45747</v>
      </c>
      <c r="J38" s="30" t="s">
        <v>3</v>
      </c>
      <c r="K38" s="32">
        <v>47348.84</v>
      </c>
      <c r="M38" s="199"/>
    </row>
    <row r="39" spans="2:14" ht="16" thickBot="1" x14ac:dyDescent="0.25">
      <c r="B39" s="197"/>
      <c r="C39" s="16"/>
      <c r="D39" s="33" t="s">
        <v>14</v>
      </c>
      <c r="E39" s="18">
        <f>SUM(E26:E37)</f>
        <v>4845556</v>
      </c>
      <c r="F39" s="17"/>
      <c r="H39" s="197"/>
      <c r="I39" s="16"/>
      <c r="J39" s="33" t="s">
        <v>34</v>
      </c>
      <c r="K39" s="19">
        <f>SUM(K26:K38)</f>
        <v>3650057.84</v>
      </c>
      <c r="M39" s="200"/>
      <c r="N39" s="28">
        <f>+M26-'ESTADO DE RESULTADO'!E47</f>
        <v>0</v>
      </c>
    </row>
    <row r="40" spans="2:14" ht="16" thickBot="1" x14ac:dyDescent="0.25">
      <c r="D40" s="76"/>
      <c r="E40" s="77"/>
      <c r="F40" s="5"/>
    </row>
    <row r="41" spans="2:14" ht="16" thickBot="1" x14ac:dyDescent="0.25">
      <c r="B41" s="74" t="s">
        <v>32</v>
      </c>
      <c r="C41" s="10" t="s">
        <v>11</v>
      </c>
      <c r="D41" s="11" t="s">
        <v>15</v>
      </c>
      <c r="E41" s="11" t="s">
        <v>12</v>
      </c>
      <c r="F41" s="12" t="s">
        <v>13</v>
      </c>
      <c r="H41" s="75" t="s">
        <v>33</v>
      </c>
      <c r="I41" s="10" t="s">
        <v>11</v>
      </c>
      <c r="J41" s="11" t="s">
        <v>15</v>
      </c>
      <c r="K41" s="12" t="s">
        <v>48</v>
      </c>
      <c r="M41" s="34" t="s">
        <v>59</v>
      </c>
    </row>
    <row r="42" spans="2:14" ht="14" customHeight="1" x14ac:dyDescent="0.2">
      <c r="B42" s="195" t="s">
        <v>80</v>
      </c>
      <c r="C42" s="13">
        <v>45766</v>
      </c>
      <c r="D42" s="7" t="s">
        <v>189</v>
      </c>
      <c r="E42" s="80">
        <v>2650000</v>
      </c>
      <c r="F42" s="14"/>
      <c r="H42" s="195" t="s">
        <v>80</v>
      </c>
      <c r="I42" s="13">
        <v>45766</v>
      </c>
      <c r="J42" s="7" t="s">
        <v>182</v>
      </c>
      <c r="K42" s="39">
        <v>341900</v>
      </c>
      <c r="M42" s="198">
        <f>+E56-K56</f>
        <v>-1947890.8899999997</v>
      </c>
    </row>
    <row r="43" spans="2:14" ht="14" customHeight="1" x14ac:dyDescent="0.2">
      <c r="B43" s="196"/>
      <c r="C43" s="13">
        <v>45766</v>
      </c>
      <c r="D43" s="7" t="s">
        <v>190</v>
      </c>
      <c r="E43" s="80">
        <v>200000</v>
      </c>
      <c r="F43" s="14"/>
      <c r="H43" s="196"/>
      <c r="I43" s="13">
        <v>45766</v>
      </c>
      <c r="J43" s="7" t="s">
        <v>183</v>
      </c>
      <c r="K43" s="39">
        <v>63000</v>
      </c>
      <c r="M43" s="199"/>
    </row>
    <row r="44" spans="2:14" ht="14" customHeight="1" x14ac:dyDescent="0.2">
      <c r="B44" s="196"/>
      <c r="C44" s="13">
        <v>45766</v>
      </c>
      <c r="D44" s="7" t="s">
        <v>220</v>
      </c>
      <c r="E44" s="80">
        <v>400000</v>
      </c>
      <c r="F44" s="14"/>
      <c r="H44" s="196"/>
      <c r="I44" s="13">
        <v>45766</v>
      </c>
      <c r="J44" s="7" t="s">
        <v>184</v>
      </c>
      <c r="K44" s="14">
        <v>78750</v>
      </c>
      <c r="M44" s="199"/>
    </row>
    <row r="45" spans="2:14" ht="14" customHeight="1" x14ac:dyDescent="0.2">
      <c r="B45" s="196"/>
      <c r="C45" s="13">
        <v>45768</v>
      </c>
      <c r="D45" s="7" t="s">
        <v>181</v>
      </c>
      <c r="E45" s="80">
        <v>2475117</v>
      </c>
      <c r="F45" s="32"/>
      <c r="H45" s="196"/>
      <c r="I45" s="29">
        <v>45766</v>
      </c>
      <c r="J45" s="7" t="s">
        <v>185</v>
      </c>
      <c r="K45" s="32">
        <f>500000-K42-K43-K44</f>
        <v>16350</v>
      </c>
      <c r="M45" s="199"/>
    </row>
    <row r="46" spans="2:14" ht="14" customHeight="1" x14ac:dyDescent="0.2">
      <c r="B46" s="196"/>
      <c r="C46" s="29">
        <v>45789</v>
      </c>
      <c r="D46" s="7" t="s">
        <v>190</v>
      </c>
      <c r="E46" s="31">
        <v>-200000</v>
      </c>
      <c r="F46" s="32"/>
      <c r="H46" s="196"/>
      <c r="I46" s="29">
        <v>45766</v>
      </c>
      <c r="J46" s="30" t="s">
        <v>186</v>
      </c>
      <c r="K46" s="32">
        <v>750000</v>
      </c>
      <c r="M46" s="199"/>
    </row>
    <row r="47" spans="2:14" ht="14" customHeight="1" x14ac:dyDescent="0.2">
      <c r="B47" s="196"/>
      <c r="C47" s="29"/>
      <c r="D47" s="30"/>
      <c r="E47" s="31"/>
      <c r="F47" s="32"/>
      <c r="H47" s="196"/>
      <c r="I47" s="29">
        <v>45766</v>
      </c>
      <c r="J47" s="7" t="s">
        <v>18</v>
      </c>
      <c r="K47" s="32">
        <v>755920</v>
      </c>
      <c r="M47" s="199"/>
    </row>
    <row r="48" spans="2:14" ht="14" customHeight="1" x14ac:dyDescent="0.2">
      <c r="B48" s="196"/>
      <c r="C48" s="29"/>
      <c r="D48" s="30"/>
      <c r="E48" s="31"/>
      <c r="F48" s="32"/>
      <c r="H48" s="196"/>
      <c r="I48" s="29">
        <v>45767</v>
      </c>
      <c r="J48" s="30" t="s">
        <v>188</v>
      </c>
      <c r="K48" s="32">
        <v>966800</v>
      </c>
      <c r="M48" s="199"/>
    </row>
    <row r="49" spans="2:14" ht="14" customHeight="1" x14ac:dyDescent="0.2">
      <c r="B49" s="196"/>
      <c r="C49" s="29"/>
      <c r="D49" s="30"/>
      <c r="E49" s="31"/>
      <c r="F49" s="32"/>
      <c r="H49" s="196"/>
      <c r="I49" s="29">
        <v>45768</v>
      </c>
      <c r="J49" s="7" t="s">
        <v>246</v>
      </c>
      <c r="K49" s="32">
        <v>900000</v>
      </c>
      <c r="M49" s="199"/>
    </row>
    <row r="50" spans="2:14" ht="14" customHeight="1" x14ac:dyDescent="0.2">
      <c r="B50" s="196"/>
      <c r="C50" s="29"/>
      <c r="D50" s="30"/>
      <c r="E50" s="31"/>
      <c r="F50" s="32"/>
      <c r="H50" s="196"/>
      <c r="I50" s="29">
        <v>45768</v>
      </c>
      <c r="J50" s="30" t="s">
        <v>193</v>
      </c>
      <c r="K50" s="32">
        <v>80000</v>
      </c>
      <c r="M50" s="199"/>
    </row>
    <row r="51" spans="2:14" ht="14" customHeight="1" x14ac:dyDescent="0.2">
      <c r="B51" s="196"/>
      <c r="C51" s="29"/>
      <c r="D51" s="7"/>
      <c r="E51" s="9"/>
      <c r="F51" s="32"/>
      <c r="H51" s="196"/>
      <c r="I51" s="29">
        <v>45768</v>
      </c>
      <c r="J51" s="30" t="s">
        <v>187</v>
      </c>
      <c r="K51" s="32">
        <v>2288800</v>
      </c>
      <c r="M51" s="199"/>
    </row>
    <row r="52" spans="2:14" ht="14" customHeight="1" x14ac:dyDescent="0.2">
      <c r="B52" s="196"/>
      <c r="C52" s="29"/>
      <c r="D52" s="30"/>
      <c r="E52" s="31"/>
      <c r="F52" s="32"/>
      <c r="H52" s="196"/>
      <c r="I52" s="13">
        <v>45779</v>
      </c>
      <c r="J52" s="7" t="s">
        <v>199</v>
      </c>
      <c r="K52" s="39">
        <v>51500</v>
      </c>
      <c r="M52" s="199"/>
    </row>
    <row r="53" spans="2:14" ht="14" customHeight="1" x14ac:dyDescent="0.2">
      <c r="B53" s="196"/>
      <c r="C53" s="29"/>
      <c r="D53" s="30"/>
      <c r="E53" s="31"/>
      <c r="F53" s="32"/>
      <c r="H53" s="196"/>
      <c r="I53" s="13">
        <v>45779</v>
      </c>
      <c r="J53" s="7" t="s">
        <v>200</v>
      </c>
      <c r="K53" s="14">
        <v>400000</v>
      </c>
      <c r="M53" s="199"/>
    </row>
    <row r="54" spans="2:14" ht="14" customHeight="1" x14ac:dyDescent="0.2">
      <c r="B54" s="196"/>
      <c r="C54" s="29"/>
      <c r="D54" s="30"/>
      <c r="E54" s="31"/>
      <c r="F54" s="32"/>
      <c r="H54" s="196"/>
      <c r="I54" s="85">
        <v>45782</v>
      </c>
      <c r="J54" s="7" t="s">
        <v>201</v>
      </c>
      <c r="K54" s="14">
        <v>750000</v>
      </c>
      <c r="M54" s="199"/>
    </row>
    <row r="55" spans="2:14" ht="14" customHeight="1" x14ac:dyDescent="0.2">
      <c r="B55" s="196"/>
      <c r="C55" s="29"/>
      <c r="D55" s="30"/>
      <c r="E55" s="31"/>
      <c r="F55" s="32"/>
      <c r="H55" s="196"/>
      <c r="I55" s="29">
        <v>45777</v>
      </c>
      <c r="J55" s="30" t="s">
        <v>3</v>
      </c>
      <c r="K55" s="14">
        <v>29987.89</v>
      </c>
      <c r="M55" s="199"/>
    </row>
    <row r="56" spans="2:14" ht="15" customHeight="1" thickBot="1" x14ac:dyDescent="0.25">
      <c r="B56" s="197"/>
      <c r="C56" s="16"/>
      <c r="D56" s="33" t="s">
        <v>14</v>
      </c>
      <c r="E56" s="18">
        <f>SUM(E42:E55)</f>
        <v>5525117</v>
      </c>
      <c r="F56" s="17"/>
      <c r="H56" s="197"/>
      <c r="I56" s="16"/>
      <c r="J56" s="33" t="s">
        <v>34</v>
      </c>
      <c r="K56" s="19">
        <f>SUM(K42:K55)</f>
        <v>7473007.8899999997</v>
      </c>
      <c r="M56" s="200"/>
      <c r="N56" s="28">
        <f>+M42-'ESTADO DE RESULTADO'!F47</f>
        <v>0</v>
      </c>
    </row>
    <row r="57" spans="2:14" ht="15" customHeight="1" thickBot="1" x14ac:dyDescent="0.25">
      <c r="B57" s="74" t="s">
        <v>32</v>
      </c>
      <c r="C57" s="10" t="s">
        <v>11</v>
      </c>
      <c r="D57" s="11" t="s">
        <v>15</v>
      </c>
      <c r="E57" s="11" t="s">
        <v>12</v>
      </c>
      <c r="F57" s="12" t="s">
        <v>13</v>
      </c>
      <c r="H57" s="75" t="s">
        <v>33</v>
      </c>
      <c r="I57" s="10" t="s">
        <v>11</v>
      </c>
      <c r="J57" s="11" t="s">
        <v>15</v>
      </c>
      <c r="K57" s="12" t="s">
        <v>48</v>
      </c>
      <c r="M57" s="34" t="s">
        <v>59</v>
      </c>
    </row>
    <row r="58" spans="2:14" x14ac:dyDescent="0.2">
      <c r="B58" s="195" t="s">
        <v>159</v>
      </c>
      <c r="C58" s="13">
        <v>45779</v>
      </c>
      <c r="D58" s="7" t="s">
        <v>197</v>
      </c>
      <c r="E58" s="9">
        <v>752288</v>
      </c>
      <c r="F58" s="14"/>
      <c r="H58" s="195" t="s">
        <v>159</v>
      </c>
      <c r="I58" s="13">
        <v>45779</v>
      </c>
      <c r="J58" s="7" t="s">
        <v>198</v>
      </c>
      <c r="K58" s="39">
        <v>230000</v>
      </c>
      <c r="M58" s="198">
        <f>+E69-K69</f>
        <v>1785687.4500000002</v>
      </c>
    </row>
    <row r="59" spans="2:14" x14ac:dyDescent="0.2">
      <c r="B59" s="196"/>
      <c r="C59" s="13">
        <v>45782</v>
      </c>
      <c r="D59" s="7" t="s">
        <v>206</v>
      </c>
      <c r="E59" s="9">
        <v>758334</v>
      </c>
      <c r="F59" s="14"/>
      <c r="H59" s="196"/>
      <c r="I59" s="13">
        <v>45789</v>
      </c>
      <c r="J59" s="7" t="s">
        <v>202</v>
      </c>
      <c r="K59" s="39">
        <v>518829</v>
      </c>
      <c r="M59" s="199"/>
    </row>
    <row r="60" spans="2:14" x14ac:dyDescent="0.2">
      <c r="B60" s="196"/>
      <c r="C60" s="13">
        <v>45789</v>
      </c>
      <c r="D60" s="7" t="s">
        <v>210</v>
      </c>
      <c r="E60" s="9">
        <v>753624</v>
      </c>
      <c r="F60" s="14"/>
      <c r="H60" s="196"/>
      <c r="I60" s="13">
        <v>45796</v>
      </c>
      <c r="J60" s="30" t="s">
        <v>213</v>
      </c>
      <c r="K60" s="14">
        <v>750000</v>
      </c>
      <c r="M60" s="199"/>
    </row>
    <row r="61" spans="2:14" x14ac:dyDescent="0.2">
      <c r="B61" s="196"/>
      <c r="C61" s="13">
        <v>45796</v>
      </c>
      <c r="D61" s="7" t="s">
        <v>212</v>
      </c>
      <c r="E61" s="9">
        <v>2234114</v>
      </c>
      <c r="F61" s="14"/>
      <c r="H61" s="196"/>
      <c r="I61" s="13">
        <v>45796</v>
      </c>
      <c r="J61" s="7" t="s">
        <v>221</v>
      </c>
      <c r="K61" s="14">
        <v>63000</v>
      </c>
      <c r="M61" s="199"/>
    </row>
    <row r="62" spans="2:14" x14ac:dyDescent="0.2">
      <c r="B62" s="196"/>
      <c r="C62" s="13">
        <v>45799</v>
      </c>
      <c r="D62" s="7" t="s">
        <v>218</v>
      </c>
      <c r="E62" s="9">
        <v>1250000</v>
      </c>
      <c r="F62" s="14"/>
      <c r="H62" s="196"/>
      <c r="I62" s="13">
        <v>45796</v>
      </c>
      <c r="J62" s="7" t="s">
        <v>214</v>
      </c>
      <c r="K62" s="14">
        <v>87000</v>
      </c>
      <c r="M62" s="199"/>
    </row>
    <row r="63" spans="2:14" x14ac:dyDescent="0.2">
      <c r="B63" s="196"/>
      <c r="C63" s="13">
        <v>45800</v>
      </c>
      <c r="D63" s="7" t="s">
        <v>220</v>
      </c>
      <c r="E63" s="9">
        <v>320000</v>
      </c>
      <c r="F63" s="14"/>
      <c r="H63" s="196"/>
      <c r="I63" s="13">
        <v>45797</v>
      </c>
      <c r="J63" s="7" t="s">
        <v>215</v>
      </c>
      <c r="K63" s="14">
        <v>1272200</v>
      </c>
      <c r="M63" s="199"/>
    </row>
    <row r="64" spans="2:14" x14ac:dyDescent="0.2">
      <c r="B64" s="196"/>
      <c r="C64" s="13"/>
      <c r="D64" s="7"/>
      <c r="E64" s="9"/>
      <c r="F64" s="14"/>
      <c r="H64" s="196"/>
      <c r="I64" s="13">
        <v>45797</v>
      </c>
      <c r="J64" s="7" t="s">
        <v>216</v>
      </c>
      <c r="K64" s="14">
        <f>1285000-K63</f>
        <v>12800</v>
      </c>
      <c r="M64" s="199"/>
    </row>
    <row r="65" spans="2:14" x14ac:dyDescent="0.2">
      <c r="B65" s="196"/>
      <c r="C65" s="13"/>
      <c r="D65" s="7"/>
      <c r="E65" s="9"/>
      <c r="F65" s="14"/>
      <c r="H65" s="196"/>
      <c r="I65" s="29">
        <v>45797</v>
      </c>
      <c r="J65" s="30" t="s">
        <v>217</v>
      </c>
      <c r="K65" s="32">
        <v>51500</v>
      </c>
      <c r="M65" s="199"/>
    </row>
    <row r="66" spans="2:14" x14ac:dyDescent="0.2">
      <c r="B66" s="196"/>
      <c r="C66" s="29"/>
      <c r="D66" s="30"/>
      <c r="E66" s="31"/>
      <c r="F66" s="32"/>
      <c r="H66" s="196"/>
      <c r="I66" s="29">
        <v>45807</v>
      </c>
      <c r="J66" s="30" t="s">
        <v>226</v>
      </c>
      <c r="K66" s="32">
        <v>750000</v>
      </c>
      <c r="M66" s="199"/>
    </row>
    <row r="67" spans="2:14" x14ac:dyDescent="0.2">
      <c r="B67" s="196"/>
      <c r="C67" s="29"/>
      <c r="D67" s="30"/>
      <c r="E67" s="31"/>
      <c r="F67" s="32"/>
      <c r="H67" s="196"/>
      <c r="I67" s="29">
        <v>45807</v>
      </c>
      <c r="J67" s="7" t="s">
        <v>222</v>
      </c>
      <c r="K67" s="32">
        <v>500000</v>
      </c>
      <c r="M67" s="199"/>
    </row>
    <row r="68" spans="2:14" x14ac:dyDescent="0.2">
      <c r="B68" s="196"/>
      <c r="C68" s="29"/>
      <c r="D68" s="7"/>
      <c r="E68" s="9"/>
      <c r="F68" s="32"/>
      <c r="H68" s="196"/>
      <c r="I68" s="29">
        <v>45808</v>
      </c>
      <c r="J68" s="7" t="s">
        <v>3</v>
      </c>
      <c r="K68" s="14">
        <v>47343.55</v>
      </c>
      <c r="M68" s="199"/>
    </row>
    <row r="69" spans="2:14" ht="16" thickBot="1" x14ac:dyDescent="0.25">
      <c r="B69" s="197"/>
      <c r="C69" s="16"/>
      <c r="D69" s="33" t="s">
        <v>14</v>
      </c>
      <c r="E69" s="18">
        <f>SUM(E58:E68)</f>
        <v>6068360</v>
      </c>
      <c r="F69" s="17"/>
      <c r="H69" s="197"/>
      <c r="I69" s="16"/>
      <c r="J69" s="33" t="s">
        <v>34</v>
      </c>
      <c r="K69" s="19">
        <f>SUM(K58:K68)</f>
        <v>4282672.55</v>
      </c>
      <c r="M69" s="200"/>
      <c r="N69" s="28">
        <f>+M58-'ESTADO DE RESULTADO'!G47</f>
        <v>0</v>
      </c>
    </row>
    <row r="70" spans="2:14" ht="8" customHeight="1" thickBot="1" x14ac:dyDescent="0.25"/>
    <row r="71" spans="2:14" ht="16" thickBot="1" x14ac:dyDescent="0.25">
      <c r="B71" s="74" t="s">
        <v>32</v>
      </c>
      <c r="C71" s="10" t="s">
        <v>11</v>
      </c>
      <c r="D71" s="11" t="s">
        <v>15</v>
      </c>
      <c r="E71" s="11" t="s">
        <v>12</v>
      </c>
      <c r="F71" s="12" t="s">
        <v>13</v>
      </c>
      <c r="H71" s="75" t="s">
        <v>33</v>
      </c>
      <c r="I71" s="10" t="s">
        <v>11</v>
      </c>
      <c r="J71" s="11" t="s">
        <v>15</v>
      </c>
      <c r="K71" s="12" t="s">
        <v>48</v>
      </c>
      <c r="M71" s="34" t="s">
        <v>59</v>
      </c>
    </row>
    <row r="72" spans="2:14" x14ac:dyDescent="0.2">
      <c r="B72" s="195" t="s">
        <v>191</v>
      </c>
      <c r="C72" s="13">
        <v>45810</v>
      </c>
      <c r="D72" s="7" t="s">
        <v>225</v>
      </c>
      <c r="E72" s="9">
        <v>754387</v>
      </c>
      <c r="F72" s="14"/>
      <c r="H72" s="195" t="s">
        <v>191</v>
      </c>
      <c r="I72" s="29">
        <v>45810</v>
      </c>
      <c r="J72" s="7" t="s">
        <v>224</v>
      </c>
      <c r="K72" s="32">
        <f>945650/2</f>
        <v>472825</v>
      </c>
      <c r="M72" s="198">
        <f>+E89-K89</f>
        <v>2015296.2599999998</v>
      </c>
    </row>
    <row r="73" spans="2:14" x14ac:dyDescent="0.2">
      <c r="B73" s="196"/>
      <c r="C73" s="13">
        <v>45813</v>
      </c>
      <c r="D73" s="7" t="s">
        <v>228</v>
      </c>
      <c r="E73" s="9">
        <v>1225500</v>
      </c>
      <c r="F73" s="14"/>
      <c r="H73" s="196"/>
      <c r="I73" s="13">
        <v>45812</v>
      </c>
      <c r="J73" s="7" t="s">
        <v>227</v>
      </c>
      <c r="K73" s="32">
        <v>98000</v>
      </c>
      <c r="M73" s="199"/>
    </row>
    <row r="74" spans="2:14" x14ac:dyDescent="0.2">
      <c r="B74" s="196"/>
      <c r="C74" s="13">
        <v>45814</v>
      </c>
      <c r="D74" s="7" t="s">
        <v>231</v>
      </c>
      <c r="E74" s="9">
        <v>1425000</v>
      </c>
      <c r="F74" s="14"/>
      <c r="H74" s="196"/>
      <c r="I74" s="13">
        <v>45813</v>
      </c>
      <c r="J74" s="7" t="s">
        <v>224</v>
      </c>
      <c r="K74" s="32">
        <f>945650/2</f>
        <v>472825</v>
      </c>
      <c r="M74" s="199"/>
    </row>
    <row r="75" spans="2:14" x14ac:dyDescent="0.2">
      <c r="B75" s="196"/>
      <c r="C75" s="13">
        <v>45820</v>
      </c>
      <c r="D75" s="7" t="s">
        <v>231</v>
      </c>
      <c r="E75" s="9">
        <v>375000</v>
      </c>
      <c r="F75" s="14"/>
      <c r="H75" s="196"/>
      <c r="I75" s="13">
        <v>45823</v>
      </c>
      <c r="J75" s="7" t="s">
        <v>232</v>
      </c>
      <c r="K75" s="14">
        <v>1500000</v>
      </c>
      <c r="M75" s="199"/>
    </row>
    <row r="76" spans="2:14" x14ac:dyDescent="0.2">
      <c r="B76" s="196"/>
      <c r="C76" s="13">
        <v>45824</v>
      </c>
      <c r="D76" s="7" t="s">
        <v>235</v>
      </c>
      <c r="E76" s="9">
        <v>475000</v>
      </c>
      <c r="F76" s="14"/>
      <c r="H76" s="196"/>
      <c r="I76" s="13">
        <v>45823</v>
      </c>
      <c r="J76" s="7" t="s">
        <v>60</v>
      </c>
      <c r="K76" s="14">
        <v>150000</v>
      </c>
      <c r="M76" s="199"/>
    </row>
    <row r="77" spans="2:14" x14ac:dyDescent="0.2">
      <c r="B77" s="196"/>
      <c r="C77" s="13">
        <v>45827</v>
      </c>
      <c r="D77" s="7" t="s">
        <v>218</v>
      </c>
      <c r="E77" s="9">
        <v>650000</v>
      </c>
      <c r="F77" s="14"/>
      <c r="H77" s="196"/>
      <c r="I77" s="13">
        <v>45823</v>
      </c>
      <c r="J77" s="7" t="s">
        <v>234</v>
      </c>
      <c r="K77" s="14">
        <v>200000</v>
      </c>
      <c r="M77" s="199"/>
    </row>
    <row r="78" spans="2:14" x14ac:dyDescent="0.2">
      <c r="B78" s="196"/>
      <c r="C78" s="13">
        <v>45827</v>
      </c>
      <c r="D78" s="7" t="s">
        <v>239</v>
      </c>
      <c r="E78" s="9">
        <v>200000</v>
      </c>
      <c r="F78" s="14"/>
      <c r="H78" s="196"/>
      <c r="I78" s="13">
        <v>45825</v>
      </c>
      <c r="J78" s="7" t="s">
        <v>238</v>
      </c>
      <c r="K78" s="14">
        <v>87400</v>
      </c>
      <c r="M78" s="199"/>
    </row>
    <row r="79" spans="2:14" x14ac:dyDescent="0.2">
      <c r="B79" s="196"/>
      <c r="C79" s="13">
        <v>45832</v>
      </c>
      <c r="D79" s="7" t="s">
        <v>239</v>
      </c>
      <c r="E79" s="9">
        <v>-200000</v>
      </c>
      <c r="F79" s="32"/>
      <c r="H79" s="196"/>
      <c r="I79" s="29">
        <v>45825</v>
      </c>
      <c r="J79" s="30" t="s">
        <v>237</v>
      </c>
      <c r="K79" s="32">
        <v>234800</v>
      </c>
      <c r="M79" s="199"/>
    </row>
    <row r="80" spans="2:14" x14ac:dyDescent="0.2">
      <c r="B80" s="196"/>
      <c r="C80" s="29">
        <v>45835</v>
      </c>
      <c r="D80" s="30" t="s">
        <v>247</v>
      </c>
      <c r="E80" s="31">
        <v>2941200</v>
      </c>
      <c r="F80" s="32"/>
      <c r="H80" s="196"/>
      <c r="I80" s="29">
        <v>45825</v>
      </c>
      <c r="J80" s="30" t="s">
        <v>236</v>
      </c>
      <c r="K80" s="32">
        <v>400000</v>
      </c>
      <c r="M80" s="199"/>
    </row>
    <row r="81" spans="2:14" x14ac:dyDescent="0.2">
      <c r="B81" s="196"/>
      <c r="C81" s="29"/>
      <c r="D81" s="30"/>
      <c r="E81" s="31"/>
      <c r="F81" s="32"/>
      <c r="H81" s="196"/>
      <c r="I81" s="29">
        <v>45828</v>
      </c>
      <c r="J81" s="30" t="s">
        <v>2</v>
      </c>
      <c r="K81" s="32">
        <v>51500</v>
      </c>
      <c r="M81" s="199"/>
    </row>
    <row r="82" spans="2:14" x14ac:dyDescent="0.2">
      <c r="B82" s="196"/>
      <c r="C82" s="29"/>
      <c r="D82" s="30"/>
      <c r="E82" s="31"/>
      <c r="F82" s="32"/>
      <c r="H82" s="196"/>
      <c r="I82" s="29">
        <v>45828</v>
      </c>
      <c r="J82" s="30" t="s">
        <v>240</v>
      </c>
      <c r="K82" s="32">
        <v>380000</v>
      </c>
      <c r="M82" s="199"/>
    </row>
    <row r="83" spans="2:14" x14ac:dyDescent="0.2">
      <c r="B83" s="196"/>
      <c r="C83" s="29"/>
      <c r="D83" s="30"/>
      <c r="E83" s="31"/>
      <c r="F83" s="32"/>
      <c r="H83" s="196"/>
      <c r="I83" s="29">
        <v>45829</v>
      </c>
      <c r="J83" s="30" t="s">
        <v>236</v>
      </c>
      <c r="K83" s="32">
        <v>317000</v>
      </c>
      <c r="M83" s="199"/>
    </row>
    <row r="84" spans="2:14" x14ac:dyDescent="0.2">
      <c r="B84" s="196"/>
      <c r="C84" s="29"/>
      <c r="D84" s="30"/>
      <c r="E84" s="31"/>
      <c r="F84" s="32"/>
      <c r="H84" s="196"/>
      <c r="I84" s="29">
        <v>45829</v>
      </c>
      <c r="J84" s="30" t="s">
        <v>241</v>
      </c>
      <c r="K84" s="32">
        <v>76500</v>
      </c>
      <c r="M84" s="199"/>
    </row>
    <row r="85" spans="2:14" x14ac:dyDescent="0.2">
      <c r="B85" s="196"/>
      <c r="C85" s="29"/>
      <c r="D85" s="30"/>
      <c r="E85" s="31"/>
      <c r="F85" s="32"/>
      <c r="H85" s="196"/>
      <c r="I85" s="29">
        <v>45835</v>
      </c>
      <c r="J85" s="30" t="s">
        <v>243</v>
      </c>
      <c r="K85" s="32">
        <v>210000</v>
      </c>
      <c r="M85" s="199"/>
    </row>
    <row r="86" spans="2:14" x14ac:dyDescent="0.2">
      <c r="B86" s="196"/>
      <c r="C86" s="29"/>
      <c r="D86" s="30"/>
      <c r="E86" s="31"/>
      <c r="F86" s="32"/>
      <c r="H86" s="196"/>
      <c r="I86" s="29">
        <v>45838</v>
      </c>
      <c r="J86" s="30" t="s">
        <v>244</v>
      </c>
      <c r="K86" s="32">
        <v>750000</v>
      </c>
      <c r="M86" s="199"/>
    </row>
    <row r="87" spans="2:14" x14ac:dyDescent="0.2">
      <c r="B87" s="196"/>
      <c r="C87" s="29"/>
      <c r="D87" s="30"/>
      <c r="E87" s="31"/>
      <c r="F87" s="32"/>
      <c r="H87" s="196"/>
      <c r="I87" s="29">
        <v>45838</v>
      </c>
      <c r="J87" s="7" t="s">
        <v>245</v>
      </c>
      <c r="K87" s="32">
        <v>400000</v>
      </c>
      <c r="M87" s="199"/>
    </row>
    <row r="88" spans="2:14" x14ac:dyDescent="0.2">
      <c r="B88" s="196"/>
      <c r="C88" s="29"/>
      <c r="D88" s="7"/>
      <c r="E88" s="9"/>
      <c r="F88" s="32"/>
      <c r="H88" s="196"/>
      <c r="I88" s="29">
        <v>45838</v>
      </c>
      <c r="J88" s="7" t="s">
        <v>3</v>
      </c>
      <c r="K88" s="14">
        <v>29940.74</v>
      </c>
      <c r="M88" s="199"/>
    </row>
    <row r="89" spans="2:14" ht="16" thickBot="1" x14ac:dyDescent="0.25">
      <c r="B89" s="197"/>
      <c r="C89" s="16"/>
      <c r="D89" s="33" t="s">
        <v>14</v>
      </c>
      <c r="E89" s="18">
        <f>SUM(E72:E88)</f>
        <v>7846087</v>
      </c>
      <c r="F89" s="17"/>
      <c r="H89" s="197"/>
      <c r="I89" s="16"/>
      <c r="J89" s="33" t="s">
        <v>34</v>
      </c>
      <c r="K89" s="19">
        <f>SUM(K72:K88)</f>
        <v>5830790.7400000002</v>
      </c>
      <c r="M89" s="200"/>
      <c r="N89" s="28">
        <f>+M72-'ESTADO DE RESULTADO'!H47</f>
        <v>0</v>
      </c>
    </row>
    <row r="90" spans="2:14" ht="8" customHeight="1" thickBot="1" x14ac:dyDescent="0.25"/>
    <row r="91" spans="2:14" ht="16" thickBot="1" x14ac:dyDescent="0.25">
      <c r="B91" s="74" t="s">
        <v>32</v>
      </c>
      <c r="C91" s="10" t="s">
        <v>11</v>
      </c>
      <c r="D91" s="11" t="s">
        <v>15</v>
      </c>
      <c r="E91" s="11" t="s">
        <v>12</v>
      </c>
      <c r="F91" s="12" t="s">
        <v>13</v>
      </c>
      <c r="H91" s="75" t="s">
        <v>33</v>
      </c>
      <c r="I91" s="10" t="s">
        <v>11</v>
      </c>
      <c r="J91" s="11" t="s">
        <v>15</v>
      </c>
      <c r="K91" s="12" t="s">
        <v>48</v>
      </c>
      <c r="M91" s="34" t="s">
        <v>59</v>
      </c>
    </row>
    <row r="92" spans="2:14" x14ac:dyDescent="0.2">
      <c r="B92" s="195" t="s">
        <v>203</v>
      </c>
      <c r="C92" s="13">
        <v>45845</v>
      </c>
      <c r="D92" s="7" t="s">
        <v>248</v>
      </c>
      <c r="E92" s="31">
        <v>840268</v>
      </c>
      <c r="F92" s="14"/>
      <c r="H92" s="195" t="s">
        <v>203</v>
      </c>
      <c r="I92" s="13">
        <v>45839</v>
      </c>
      <c r="J92" s="7" t="s">
        <v>44</v>
      </c>
      <c r="K92" s="32">
        <v>204700</v>
      </c>
      <c r="M92" s="198">
        <f>+E112-K112</f>
        <v>-6297393.4700000007</v>
      </c>
    </row>
    <row r="93" spans="2:14" x14ac:dyDescent="0.2">
      <c r="B93" s="196"/>
      <c r="C93" s="13">
        <v>45852</v>
      </c>
      <c r="D93" s="7" t="s">
        <v>253</v>
      </c>
      <c r="E93" s="31">
        <v>757353</v>
      </c>
      <c r="F93" s="14"/>
      <c r="H93" s="196"/>
      <c r="I93" s="13">
        <v>45840</v>
      </c>
      <c r="J93" s="7" t="s">
        <v>269</v>
      </c>
      <c r="K93" s="32">
        <v>50000</v>
      </c>
      <c r="M93" s="199"/>
    </row>
    <row r="94" spans="2:14" x14ac:dyDescent="0.2">
      <c r="B94" s="196"/>
      <c r="C94" s="13">
        <v>45853</v>
      </c>
      <c r="D94" s="7" t="s">
        <v>257</v>
      </c>
      <c r="E94" s="9">
        <v>450000</v>
      </c>
      <c r="F94" s="14"/>
      <c r="H94" s="196"/>
      <c r="I94" s="29">
        <v>45844</v>
      </c>
      <c r="J94" s="7" t="s">
        <v>249</v>
      </c>
      <c r="K94" s="32">
        <v>576560</v>
      </c>
      <c r="M94" s="199"/>
    </row>
    <row r="95" spans="2:14" x14ac:dyDescent="0.2">
      <c r="B95" s="196"/>
      <c r="C95" s="13">
        <v>45856</v>
      </c>
      <c r="D95" s="7" t="s">
        <v>235</v>
      </c>
      <c r="E95" s="9">
        <v>475000</v>
      </c>
      <c r="F95" s="14"/>
      <c r="H95" s="196"/>
      <c r="I95" s="29">
        <v>45847</v>
      </c>
      <c r="J95" s="7" t="s">
        <v>251</v>
      </c>
      <c r="K95" s="32">
        <v>300000</v>
      </c>
      <c r="M95" s="199"/>
    </row>
    <row r="96" spans="2:14" x14ac:dyDescent="0.2">
      <c r="B96" s="196"/>
      <c r="C96" s="13">
        <v>45856</v>
      </c>
      <c r="D96" s="7" t="s">
        <v>258</v>
      </c>
      <c r="E96" s="9">
        <v>200000</v>
      </c>
      <c r="F96" s="14"/>
      <c r="H96" s="196"/>
      <c r="I96" s="13">
        <v>45853</v>
      </c>
      <c r="J96" s="30" t="s">
        <v>254</v>
      </c>
      <c r="K96" s="14">
        <v>750000</v>
      </c>
      <c r="M96" s="199"/>
    </row>
    <row r="97" spans="2:14" x14ac:dyDescent="0.2">
      <c r="B97" s="196"/>
      <c r="C97" s="13">
        <v>45859</v>
      </c>
      <c r="D97" s="7" t="s">
        <v>258</v>
      </c>
      <c r="E97" s="9">
        <v>-200000</v>
      </c>
      <c r="F97" s="14"/>
      <c r="H97" s="196"/>
      <c r="I97" s="13">
        <v>45854</v>
      </c>
      <c r="J97" s="7" t="s">
        <v>60</v>
      </c>
      <c r="K97" s="14">
        <v>150000</v>
      </c>
      <c r="M97" s="199"/>
      <c r="N97" s="5"/>
    </row>
    <row r="98" spans="2:14" x14ac:dyDescent="0.2">
      <c r="B98" s="196"/>
      <c r="C98" s="13">
        <v>45863</v>
      </c>
      <c r="D98" s="7" t="s">
        <v>257</v>
      </c>
      <c r="E98" s="9">
        <v>450000</v>
      </c>
      <c r="F98" s="14"/>
      <c r="H98" s="196"/>
      <c r="I98" s="13">
        <v>45855</v>
      </c>
      <c r="J98" s="7" t="s">
        <v>18</v>
      </c>
      <c r="K98" s="14">
        <v>789700</v>
      </c>
      <c r="M98" s="199"/>
    </row>
    <row r="99" spans="2:14" x14ac:dyDescent="0.2">
      <c r="B99" s="196"/>
      <c r="C99" s="29">
        <v>45863</v>
      </c>
      <c r="D99" s="7" t="s">
        <v>264</v>
      </c>
      <c r="E99" s="31">
        <v>200000</v>
      </c>
      <c r="F99" s="32"/>
      <c r="H99" s="196"/>
      <c r="I99" s="13">
        <v>45856</v>
      </c>
      <c r="J99" s="7" t="s">
        <v>259</v>
      </c>
      <c r="K99" s="14">
        <v>190000</v>
      </c>
      <c r="M99" s="199"/>
    </row>
    <row r="100" spans="2:14" x14ac:dyDescent="0.2">
      <c r="B100" s="196"/>
      <c r="C100" s="29">
        <v>45866</v>
      </c>
      <c r="D100" s="7" t="s">
        <v>264</v>
      </c>
      <c r="E100" s="31">
        <v>-200000</v>
      </c>
      <c r="F100" s="32"/>
      <c r="H100" s="196"/>
      <c r="I100" s="29">
        <v>45858</v>
      </c>
      <c r="J100" s="30" t="s">
        <v>260</v>
      </c>
      <c r="K100" s="14">
        <v>1000000</v>
      </c>
      <c r="M100" s="199"/>
    </row>
    <row r="101" spans="2:14" x14ac:dyDescent="0.2">
      <c r="B101" s="196"/>
      <c r="C101" s="29"/>
      <c r="D101" s="30"/>
      <c r="E101" s="31"/>
      <c r="F101" s="32"/>
      <c r="H101" s="196"/>
      <c r="I101" s="29">
        <v>45863</v>
      </c>
      <c r="J101" s="30" t="s">
        <v>261</v>
      </c>
      <c r="K101" s="32">
        <v>700000</v>
      </c>
      <c r="M101" s="199"/>
    </row>
    <row r="102" spans="2:14" x14ac:dyDescent="0.2">
      <c r="B102" s="196"/>
      <c r="C102" s="29"/>
      <c r="D102" s="30"/>
      <c r="E102" s="31"/>
      <c r="F102" s="32"/>
      <c r="H102" s="196"/>
      <c r="I102" s="29">
        <v>45863</v>
      </c>
      <c r="J102" s="30" t="s">
        <v>2</v>
      </c>
      <c r="K102" s="32">
        <v>51500</v>
      </c>
      <c r="M102" s="199"/>
    </row>
    <row r="103" spans="2:14" x14ac:dyDescent="0.2">
      <c r="B103" s="196"/>
      <c r="C103" s="29"/>
      <c r="D103" s="30"/>
      <c r="E103" s="31"/>
      <c r="F103" s="32"/>
      <c r="H103" s="196"/>
      <c r="I103" s="29">
        <v>45863</v>
      </c>
      <c r="J103" s="7" t="s">
        <v>262</v>
      </c>
      <c r="K103" s="32">
        <v>100000</v>
      </c>
      <c r="M103" s="199"/>
    </row>
    <row r="104" spans="2:14" x14ac:dyDescent="0.2">
      <c r="B104" s="196"/>
      <c r="C104" s="29"/>
      <c r="D104" s="30"/>
      <c r="E104" s="31"/>
      <c r="F104" s="32"/>
      <c r="H104" s="196"/>
      <c r="I104" s="29">
        <v>45863</v>
      </c>
      <c r="J104" s="7" t="s">
        <v>56</v>
      </c>
      <c r="K104" s="32">
        <v>447617</v>
      </c>
      <c r="M104" s="199"/>
    </row>
    <row r="105" spans="2:14" x14ac:dyDescent="0.2">
      <c r="B105" s="196"/>
      <c r="C105" s="29"/>
      <c r="D105" s="30"/>
      <c r="E105" s="31"/>
      <c r="F105" s="32"/>
      <c r="H105" s="196"/>
      <c r="I105" s="29">
        <v>45863</v>
      </c>
      <c r="J105" s="7" t="s">
        <v>268</v>
      </c>
      <c r="K105" s="32">
        <f>+(E94+E98)*0.2</f>
        <v>180000</v>
      </c>
      <c r="M105" s="199"/>
    </row>
    <row r="106" spans="2:14" x14ac:dyDescent="0.2">
      <c r="B106" s="196"/>
      <c r="C106" s="29"/>
      <c r="D106" s="30"/>
      <c r="E106" s="31"/>
      <c r="F106" s="32"/>
      <c r="H106" s="196"/>
      <c r="I106" s="29">
        <v>45864</v>
      </c>
      <c r="J106" s="30" t="s">
        <v>260</v>
      </c>
      <c r="K106" s="14">
        <v>1000000</v>
      </c>
      <c r="M106" s="199"/>
    </row>
    <row r="107" spans="2:14" x14ac:dyDescent="0.2">
      <c r="B107" s="196"/>
      <c r="C107" s="29"/>
      <c r="D107" s="30"/>
      <c r="E107" s="31"/>
      <c r="F107" s="32"/>
      <c r="H107" s="196"/>
      <c r="I107" s="29">
        <v>45865</v>
      </c>
      <c r="J107" s="30" t="s">
        <v>260</v>
      </c>
      <c r="K107" s="32">
        <v>1000000</v>
      </c>
      <c r="M107" s="199"/>
    </row>
    <row r="108" spans="2:14" x14ac:dyDescent="0.2">
      <c r="B108" s="196"/>
      <c r="C108" s="29"/>
      <c r="D108" s="30"/>
      <c r="E108" s="31"/>
      <c r="F108" s="32"/>
      <c r="H108" s="196"/>
      <c r="I108" s="29">
        <v>45866</v>
      </c>
      <c r="J108" s="30" t="s">
        <v>265</v>
      </c>
      <c r="K108" s="32">
        <v>500000</v>
      </c>
      <c r="M108" s="199"/>
    </row>
    <row r="109" spans="2:14" x14ac:dyDescent="0.2">
      <c r="B109" s="196"/>
      <c r="C109" s="29"/>
      <c r="D109" s="30"/>
      <c r="E109" s="31"/>
      <c r="F109" s="32"/>
      <c r="H109" s="196"/>
      <c r="I109" s="29">
        <v>45872</v>
      </c>
      <c r="J109" s="30" t="s">
        <v>266</v>
      </c>
      <c r="K109" s="32">
        <v>750000</v>
      </c>
      <c r="M109" s="199"/>
    </row>
    <row r="110" spans="2:14" x14ac:dyDescent="0.2">
      <c r="B110" s="196"/>
      <c r="C110" s="29"/>
      <c r="D110" s="30"/>
      <c r="E110" s="31"/>
      <c r="F110" s="32"/>
      <c r="H110" s="196"/>
      <c r="I110" s="29">
        <v>45873</v>
      </c>
      <c r="J110" s="7" t="s">
        <v>263</v>
      </c>
      <c r="K110" s="32">
        <v>500000</v>
      </c>
      <c r="M110" s="199"/>
    </row>
    <row r="111" spans="2:14" x14ac:dyDescent="0.2">
      <c r="B111" s="196"/>
      <c r="C111" s="29"/>
      <c r="D111" s="7"/>
      <c r="E111" s="9"/>
      <c r="F111" s="32"/>
      <c r="H111" s="196"/>
      <c r="I111" s="29">
        <v>45869</v>
      </c>
      <c r="J111" s="7" t="s">
        <v>3</v>
      </c>
      <c r="K111" s="14">
        <v>29937.47</v>
      </c>
      <c r="M111" s="199"/>
    </row>
    <row r="112" spans="2:14" ht="16" thickBot="1" x14ac:dyDescent="0.25">
      <c r="B112" s="197"/>
      <c r="C112" s="16"/>
      <c r="D112" s="33" t="s">
        <v>14</v>
      </c>
      <c r="E112" s="18">
        <f>SUM(E92:E111)</f>
        <v>2972621</v>
      </c>
      <c r="F112" s="17"/>
      <c r="H112" s="197"/>
      <c r="I112" s="16"/>
      <c r="J112" s="33" t="s">
        <v>34</v>
      </c>
      <c r="K112" s="19">
        <f>SUM(K92:K111)</f>
        <v>9270014.4700000007</v>
      </c>
      <c r="M112" s="200"/>
      <c r="N112" s="28">
        <f>+M92-'ESTADO DE RESULTADO'!I47</f>
        <v>0</v>
      </c>
    </row>
    <row r="113" spans="2:14" ht="16" thickBot="1" x14ac:dyDescent="0.25">
      <c r="B113" s="74" t="s">
        <v>32</v>
      </c>
      <c r="C113" s="10" t="s">
        <v>11</v>
      </c>
      <c r="D113" s="11" t="s">
        <v>15</v>
      </c>
      <c r="E113" s="11" t="s">
        <v>12</v>
      </c>
      <c r="F113" s="12" t="s">
        <v>13</v>
      </c>
      <c r="H113" s="75" t="s">
        <v>33</v>
      </c>
      <c r="I113" s="10" t="s">
        <v>11</v>
      </c>
      <c r="J113" s="11" t="s">
        <v>15</v>
      </c>
      <c r="K113" s="12" t="s">
        <v>48</v>
      </c>
      <c r="M113" s="79" t="s">
        <v>59</v>
      </c>
    </row>
    <row r="114" spans="2:14" x14ac:dyDescent="0.2">
      <c r="B114" s="195" t="s">
        <v>204</v>
      </c>
      <c r="C114" s="13">
        <v>45872</v>
      </c>
      <c r="D114" s="7" t="s">
        <v>321</v>
      </c>
      <c r="E114" s="31">
        <v>475000</v>
      </c>
      <c r="F114" s="14"/>
      <c r="H114" s="195" t="s">
        <v>204</v>
      </c>
      <c r="I114" s="13">
        <v>45881</v>
      </c>
      <c r="J114" s="7" t="s">
        <v>276</v>
      </c>
      <c r="K114" s="32">
        <v>305000</v>
      </c>
      <c r="M114" s="201">
        <f>+E128-K128</f>
        <v>5444763.9000000004</v>
      </c>
    </row>
    <row r="115" spans="2:14" x14ac:dyDescent="0.2">
      <c r="B115" s="196"/>
      <c r="C115" s="13">
        <v>45873</v>
      </c>
      <c r="D115" s="7" t="s">
        <v>267</v>
      </c>
      <c r="E115" s="31">
        <v>833097</v>
      </c>
      <c r="F115" s="14"/>
      <c r="H115" s="196"/>
      <c r="I115" s="13">
        <v>45887</v>
      </c>
      <c r="J115" s="30" t="s">
        <v>278</v>
      </c>
      <c r="K115" s="32">
        <v>750000</v>
      </c>
      <c r="M115" s="199"/>
    </row>
    <row r="116" spans="2:14" x14ac:dyDescent="0.2">
      <c r="B116" s="196"/>
      <c r="C116" s="13">
        <v>45874</v>
      </c>
      <c r="D116" s="7" t="s">
        <v>270</v>
      </c>
      <c r="E116" s="112">
        <v>450000</v>
      </c>
      <c r="F116" s="14"/>
      <c r="H116" s="196"/>
      <c r="I116" s="29">
        <v>45889</v>
      </c>
      <c r="J116" s="30" t="s">
        <v>2</v>
      </c>
      <c r="K116" s="32">
        <v>51500</v>
      </c>
      <c r="M116" s="199"/>
    </row>
    <row r="117" spans="2:14" ht="15" customHeight="1" x14ac:dyDescent="0.2">
      <c r="B117" s="196"/>
      <c r="C117" s="13">
        <v>45875</v>
      </c>
      <c r="D117" s="7" t="s">
        <v>272</v>
      </c>
      <c r="E117" s="112">
        <v>833814</v>
      </c>
      <c r="F117" s="14"/>
      <c r="H117" s="196"/>
      <c r="I117" s="29">
        <v>45889</v>
      </c>
      <c r="J117" s="7" t="s">
        <v>60</v>
      </c>
      <c r="K117" s="14">
        <v>150000</v>
      </c>
      <c r="M117" s="199"/>
    </row>
    <row r="118" spans="2:14" x14ac:dyDescent="0.2">
      <c r="B118" s="196"/>
      <c r="C118" s="13">
        <v>45875</v>
      </c>
      <c r="D118" s="7" t="s">
        <v>273</v>
      </c>
      <c r="E118" s="9">
        <v>800000</v>
      </c>
      <c r="F118" s="14"/>
      <c r="H118" s="196"/>
      <c r="I118" s="13">
        <v>45898</v>
      </c>
      <c r="J118" s="30" t="s">
        <v>287</v>
      </c>
      <c r="K118" s="14">
        <f>+(E122+E126)*0.2</f>
        <v>180000</v>
      </c>
      <c r="M118" s="199"/>
    </row>
    <row r="119" spans="2:14" x14ac:dyDescent="0.2">
      <c r="B119" s="196"/>
      <c r="C119" s="13">
        <v>45878</v>
      </c>
      <c r="D119" s="7" t="s">
        <v>270</v>
      </c>
      <c r="E119" s="9">
        <v>450000</v>
      </c>
      <c r="F119" s="14"/>
      <c r="H119" s="196"/>
      <c r="I119" s="13">
        <v>45899</v>
      </c>
      <c r="J119" s="30" t="s">
        <v>282</v>
      </c>
      <c r="K119" s="14">
        <v>750000</v>
      </c>
      <c r="M119" s="199"/>
    </row>
    <row r="120" spans="2:14" x14ac:dyDescent="0.2">
      <c r="B120" s="196"/>
      <c r="C120" s="13">
        <v>45880</v>
      </c>
      <c r="D120" s="7" t="s">
        <v>274</v>
      </c>
      <c r="E120" s="9">
        <v>500000</v>
      </c>
      <c r="F120" s="14"/>
      <c r="H120" s="196"/>
      <c r="I120" s="13">
        <v>45899</v>
      </c>
      <c r="J120" s="7" t="s">
        <v>283</v>
      </c>
      <c r="K120" s="14">
        <v>500000</v>
      </c>
      <c r="M120" s="199"/>
    </row>
    <row r="121" spans="2:14" x14ac:dyDescent="0.2">
      <c r="B121" s="196"/>
      <c r="C121" s="29">
        <v>45887</v>
      </c>
      <c r="D121" s="7" t="s">
        <v>277</v>
      </c>
      <c r="E121" s="31">
        <v>1619314</v>
      </c>
      <c r="F121" s="32"/>
      <c r="H121" s="196"/>
      <c r="I121" s="29">
        <v>46264</v>
      </c>
      <c r="J121" s="30" t="s">
        <v>371</v>
      </c>
      <c r="K121" s="32">
        <v>130000</v>
      </c>
      <c r="M121" s="199"/>
    </row>
    <row r="122" spans="2:14" x14ac:dyDescent="0.2">
      <c r="B122" s="196"/>
      <c r="C122" s="29">
        <v>45888</v>
      </c>
      <c r="D122" s="7" t="s">
        <v>280</v>
      </c>
      <c r="E122" s="31">
        <v>450000</v>
      </c>
      <c r="F122" s="32"/>
      <c r="H122" s="196"/>
      <c r="I122" s="29">
        <v>45900</v>
      </c>
      <c r="J122" s="7" t="s">
        <v>3</v>
      </c>
      <c r="K122" s="14">
        <v>29961.1</v>
      </c>
      <c r="M122" s="199"/>
    </row>
    <row r="123" spans="2:14" x14ac:dyDescent="0.2">
      <c r="B123" s="196"/>
      <c r="C123" s="29">
        <v>45890</v>
      </c>
      <c r="D123" s="7" t="s">
        <v>274</v>
      </c>
      <c r="E123" s="31">
        <v>300000</v>
      </c>
      <c r="F123" s="32"/>
      <c r="H123" s="196"/>
      <c r="I123" s="29"/>
      <c r="J123" s="30"/>
      <c r="K123" s="32"/>
      <c r="M123" s="199"/>
    </row>
    <row r="124" spans="2:14" x14ac:dyDescent="0.2">
      <c r="B124" s="196"/>
      <c r="C124" s="29">
        <v>45898</v>
      </c>
      <c r="D124" s="114" t="s">
        <v>295</v>
      </c>
      <c r="E124" s="31">
        <v>450000</v>
      </c>
      <c r="F124" s="32"/>
      <c r="H124" s="196"/>
      <c r="I124" s="29"/>
      <c r="J124" s="30"/>
      <c r="K124" s="32"/>
      <c r="M124" s="199"/>
    </row>
    <row r="125" spans="2:14" x14ac:dyDescent="0.2">
      <c r="B125" s="196"/>
      <c r="C125" s="29">
        <v>45898</v>
      </c>
      <c r="D125" s="114" t="s">
        <v>312</v>
      </c>
      <c r="E125" s="31">
        <v>480000</v>
      </c>
      <c r="F125" s="32"/>
      <c r="H125" s="196"/>
      <c r="I125" s="29"/>
      <c r="J125" s="7"/>
      <c r="K125" s="32"/>
      <c r="M125" s="199"/>
    </row>
    <row r="126" spans="2:14" x14ac:dyDescent="0.2">
      <c r="B126" s="196"/>
      <c r="C126" s="29">
        <v>45898</v>
      </c>
      <c r="D126" s="7" t="s">
        <v>280</v>
      </c>
      <c r="E126" s="31">
        <v>450000</v>
      </c>
      <c r="F126" s="32"/>
      <c r="H126" s="196"/>
      <c r="I126" s="29"/>
      <c r="J126" s="7"/>
      <c r="K126" s="32"/>
      <c r="M126" s="199"/>
    </row>
    <row r="127" spans="2:14" x14ac:dyDescent="0.2">
      <c r="B127" s="196"/>
      <c r="C127" s="29">
        <v>45898</v>
      </c>
      <c r="D127" s="7" t="s">
        <v>286</v>
      </c>
      <c r="E127" s="31">
        <v>200000</v>
      </c>
      <c r="F127" s="32"/>
      <c r="H127" s="196"/>
      <c r="I127" s="29"/>
      <c r="J127" s="7"/>
      <c r="K127" s="32"/>
      <c r="M127" s="199"/>
    </row>
    <row r="128" spans="2:14" ht="16" thickBot="1" x14ac:dyDescent="0.25">
      <c r="B128" s="197"/>
      <c r="C128" s="16"/>
      <c r="D128" s="33" t="s">
        <v>14</v>
      </c>
      <c r="E128" s="18">
        <f>SUM(E114:E127)</f>
        <v>8291225</v>
      </c>
      <c r="F128" s="17"/>
      <c r="H128" s="197"/>
      <c r="I128" s="16"/>
      <c r="J128" s="33" t="s">
        <v>34</v>
      </c>
      <c r="K128" s="19">
        <f>SUM(K114:K127)</f>
        <v>2846461.1</v>
      </c>
      <c r="M128" s="200"/>
      <c r="N128" s="28">
        <f>+M114-'ESTADO DE RESULTADO'!J47</f>
        <v>0</v>
      </c>
    </row>
    <row r="129" spans="2:13" ht="16" thickBot="1" x14ac:dyDescent="0.25"/>
    <row r="130" spans="2:13" ht="16" thickBot="1" x14ac:dyDescent="0.25">
      <c r="B130" s="74" t="s">
        <v>32</v>
      </c>
      <c r="C130" s="10" t="s">
        <v>11</v>
      </c>
      <c r="D130" s="11" t="s">
        <v>15</v>
      </c>
      <c r="E130" s="11" t="s">
        <v>12</v>
      </c>
      <c r="F130" s="12" t="s">
        <v>13</v>
      </c>
      <c r="H130" s="75" t="s">
        <v>33</v>
      </c>
      <c r="I130" s="10" t="s">
        <v>11</v>
      </c>
      <c r="J130" s="11" t="s">
        <v>15</v>
      </c>
      <c r="K130" s="12" t="s">
        <v>48</v>
      </c>
      <c r="M130" s="34" t="s">
        <v>59</v>
      </c>
    </row>
    <row r="131" spans="2:13" x14ac:dyDescent="0.2">
      <c r="B131" s="195" t="s">
        <v>7</v>
      </c>
      <c r="C131" s="13">
        <v>45901</v>
      </c>
      <c r="D131" s="7" t="s">
        <v>286</v>
      </c>
      <c r="E131" s="31">
        <v>-200000</v>
      </c>
      <c r="F131" s="14"/>
      <c r="H131" s="195" t="s">
        <v>7</v>
      </c>
      <c r="I131" s="13">
        <v>45906</v>
      </c>
      <c r="J131" s="7" t="s">
        <v>291</v>
      </c>
      <c r="K131" s="32">
        <f>(+E132+E133)*0.2</f>
        <v>180000</v>
      </c>
      <c r="M131" s="198">
        <f>+E148-K148</f>
        <v>-2373140.6399999997</v>
      </c>
    </row>
    <row r="132" spans="2:13" x14ac:dyDescent="0.2">
      <c r="B132" s="196"/>
      <c r="C132" s="13">
        <v>45901</v>
      </c>
      <c r="D132" s="7" t="s">
        <v>289</v>
      </c>
      <c r="E132" s="31">
        <v>420000</v>
      </c>
      <c r="F132" s="14"/>
      <c r="H132" s="196"/>
      <c r="I132" s="13">
        <v>45911</v>
      </c>
      <c r="J132" s="30" t="s">
        <v>292</v>
      </c>
      <c r="K132" s="32">
        <v>224800</v>
      </c>
      <c r="M132" s="199"/>
    </row>
    <row r="133" spans="2:13" x14ac:dyDescent="0.2">
      <c r="B133" s="196"/>
      <c r="C133" s="13">
        <v>45905</v>
      </c>
      <c r="D133" s="7" t="s">
        <v>289</v>
      </c>
      <c r="E133" s="112">
        <v>480000</v>
      </c>
      <c r="F133" s="14"/>
      <c r="H133" s="196"/>
      <c r="I133" s="29">
        <v>45912</v>
      </c>
      <c r="J133" s="114" t="s">
        <v>297</v>
      </c>
      <c r="K133" s="32">
        <f>(+E124+E136)*0.2</f>
        <v>180000</v>
      </c>
      <c r="M133" s="199"/>
    </row>
    <row r="134" spans="2:13" x14ac:dyDescent="0.2">
      <c r="B134" s="196"/>
      <c r="C134" s="13">
        <v>45905</v>
      </c>
      <c r="D134" s="7" t="s">
        <v>290</v>
      </c>
      <c r="E134" s="112">
        <v>200000</v>
      </c>
      <c r="F134" s="14"/>
      <c r="H134" s="196"/>
      <c r="I134" s="29">
        <v>45919</v>
      </c>
      <c r="J134" s="30" t="s">
        <v>298</v>
      </c>
      <c r="K134" s="14">
        <v>750000</v>
      </c>
      <c r="M134" s="199"/>
    </row>
    <row r="135" spans="2:13" x14ac:dyDescent="0.2">
      <c r="B135" s="196"/>
      <c r="C135" s="13">
        <v>45908</v>
      </c>
      <c r="D135" s="7" t="s">
        <v>290</v>
      </c>
      <c r="E135" s="9">
        <v>-200000</v>
      </c>
      <c r="F135" s="14"/>
      <c r="H135" s="196"/>
      <c r="I135" s="13">
        <v>45922</v>
      </c>
      <c r="J135" s="30" t="s">
        <v>18</v>
      </c>
      <c r="K135" s="14">
        <v>647390</v>
      </c>
      <c r="M135" s="199"/>
    </row>
    <row r="136" spans="2:13" x14ac:dyDescent="0.2">
      <c r="B136" s="196"/>
      <c r="C136" s="13">
        <v>45911</v>
      </c>
      <c r="D136" s="114" t="s">
        <v>296</v>
      </c>
      <c r="E136" s="9">
        <v>450000</v>
      </c>
      <c r="F136" s="14"/>
      <c r="H136" s="196"/>
      <c r="I136" s="13">
        <v>45922</v>
      </c>
      <c r="J136" s="30" t="s">
        <v>2</v>
      </c>
      <c r="K136" s="14">
        <v>51500</v>
      </c>
      <c r="M136" s="199"/>
    </row>
    <row r="137" spans="2:13" x14ac:dyDescent="0.2">
      <c r="B137" s="196"/>
      <c r="C137" s="13">
        <v>45912</v>
      </c>
      <c r="D137" s="114" t="s">
        <v>294</v>
      </c>
      <c r="E137" s="9">
        <v>200000</v>
      </c>
      <c r="F137" s="14"/>
      <c r="H137" s="196"/>
      <c r="I137" s="13">
        <v>45924</v>
      </c>
      <c r="J137" s="114" t="s">
        <v>310</v>
      </c>
      <c r="K137" s="32">
        <f>1900000*0.2</f>
        <v>380000</v>
      </c>
      <c r="M137" s="199"/>
    </row>
    <row r="138" spans="2:13" x14ac:dyDescent="0.2">
      <c r="B138" s="196"/>
      <c r="C138" s="29">
        <v>45915</v>
      </c>
      <c r="D138" s="114" t="s">
        <v>294</v>
      </c>
      <c r="E138" s="31">
        <v>-200000</v>
      </c>
      <c r="F138" s="32"/>
      <c r="H138" s="196"/>
      <c r="I138" s="29">
        <v>45924</v>
      </c>
      <c r="J138" s="7" t="s">
        <v>309</v>
      </c>
      <c r="K138" s="14">
        <v>519519</v>
      </c>
      <c r="M138" s="199"/>
    </row>
    <row r="139" spans="2:13" x14ac:dyDescent="0.2">
      <c r="B139" s="196"/>
      <c r="C139" s="29">
        <v>45919</v>
      </c>
      <c r="D139" s="7" t="s">
        <v>299</v>
      </c>
      <c r="E139" s="31">
        <v>500000</v>
      </c>
      <c r="F139" s="32"/>
      <c r="H139" s="196"/>
      <c r="I139" s="29">
        <v>45924</v>
      </c>
      <c r="J139" s="114" t="s">
        <v>311</v>
      </c>
      <c r="K139" s="32">
        <f>1900000*0.2</f>
        <v>380000</v>
      </c>
      <c r="M139" s="199"/>
    </row>
    <row r="140" spans="2:13" x14ac:dyDescent="0.2">
      <c r="B140" s="196"/>
      <c r="C140" s="29">
        <v>45922</v>
      </c>
      <c r="D140" s="7" t="s">
        <v>301</v>
      </c>
      <c r="E140" s="31">
        <v>901597</v>
      </c>
      <c r="F140" s="32"/>
      <c r="H140" s="196"/>
      <c r="I140" s="29">
        <v>45909</v>
      </c>
      <c r="J140" s="7" t="s">
        <v>303</v>
      </c>
      <c r="K140" s="14">
        <v>87400</v>
      </c>
      <c r="M140" s="199"/>
    </row>
    <row r="141" spans="2:13" x14ac:dyDescent="0.2">
      <c r="B141" s="196"/>
      <c r="C141" s="29">
        <v>45924</v>
      </c>
      <c r="D141" s="114" t="s">
        <v>308</v>
      </c>
      <c r="E141" s="31">
        <v>950000</v>
      </c>
      <c r="F141" s="32"/>
      <c r="H141" s="196"/>
      <c r="I141" s="29">
        <v>45925</v>
      </c>
      <c r="J141" s="30" t="s">
        <v>314</v>
      </c>
      <c r="K141" s="14">
        <f>+(E125+E143)*0.2</f>
        <v>180000</v>
      </c>
      <c r="M141" s="199"/>
    </row>
    <row r="142" spans="2:13" x14ac:dyDescent="0.2">
      <c r="B142" s="196"/>
      <c r="C142" s="29">
        <v>45924</v>
      </c>
      <c r="D142" s="114" t="s">
        <v>325</v>
      </c>
      <c r="E142" s="31">
        <v>950000</v>
      </c>
      <c r="F142" s="32"/>
      <c r="H142" s="196"/>
      <c r="I142" s="29">
        <v>45930</v>
      </c>
      <c r="J142" s="30" t="s">
        <v>316</v>
      </c>
      <c r="K142" s="14">
        <v>668500</v>
      </c>
      <c r="M142" s="199"/>
    </row>
    <row r="143" spans="2:13" x14ac:dyDescent="0.2">
      <c r="B143" s="196"/>
      <c r="C143" s="29">
        <v>45925</v>
      </c>
      <c r="D143" s="114" t="s">
        <v>312</v>
      </c>
      <c r="E143" s="31">
        <v>420000</v>
      </c>
      <c r="F143" s="32"/>
      <c r="H143" s="196"/>
      <c r="I143" s="29">
        <v>45930</v>
      </c>
      <c r="J143" s="30" t="s">
        <v>315</v>
      </c>
      <c r="K143" s="14">
        <v>50700</v>
      </c>
      <c r="M143" s="199"/>
    </row>
    <row r="144" spans="2:13" x14ac:dyDescent="0.2">
      <c r="B144" s="196"/>
      <c r="C144" s="29">
        <v>45925</v>
      </c>
      <c r="D144" s="114" t="s">
        <v>313</v>
      </c>
      <c r="E144" s="31">
        <v>260000</v>
      </c>
      <c r="F144" s="32"/>
      <c r="H144" s="196"/>
      <c r="I144" s="29">
        <v>45930</v>
      </c>
      <c r="J144" s="7" t="s">
        <v>317</v>
      </c>
      <c r="K144" s="122">
        <v>2163750</v>
      </c>
      <c r="M144" s="199"/>
    </row>
    <row r="145" spans="2:14" x14ac:dyDescent="0.2">
      <c r="B145" s="196"/>
      <c r="C145" s="29">
        <v>45927</v>
      </c>
      <c r="D145" s="7" t="s">
        <v>299</v>
      </c>
      <c r="E145" s="31">
        <v>500000</v>
      </c>
      <c r="F145" s="32"/>
      <c r="H145" s="196"/>
      <c r="I145" s="29">
        <v>45941</v>
      </c>
      <c r="J145" s="7" t="s">
        <v>304</v>
      </c>
      <c r="K145" s="32">
        <v>500000</v>
      </c>
      <c r="M145" s="199"/>
    </row>
    <row r="146" spans="2:14" x14ac:dyDescent="0.2">
      <c r="B146" s="196"/>
      <c r="C146" s="29">
        <v>45929</v>
      </c>
      <c r="D146" s="114" t="s">
        <v>313</v>
      </c>
      <c r="E146" s="121">
        <v>-260000</v>
      </c>
      <c r="F146" s="32"/>
      <c r="H146" s="196"/>
      <c r="I146" s="29">
        <v>45939</v>
      </c>
      <c r="J146" s="30" t="s">
        <v>305</v>
      </c>
      <c r="K146" s="39">
        <v>750000</v>
      </c>
      <c r="M146" s="199"/>
    </row>
    <row r="147" spans="2:14" x14ac:dyDescent="0.2">
      <c r="B147" s="196"/>
      <c r="C147" s="29"/>
      <c r="D147" s="7"/>
      <c r="E147" s="31"/>
      <c r="F147" s="32"/>
      <c r="H147" s="196"/>
      <c r="I147" s="29">
        <v>45930</v>
      </c>
      <c r="J147" s="7" t="s">
        <v>3</v>
      </c>
      <c r="K147" s="32">
        <v>31178.639999999999</v>
      </c>
      <c r="M147" s="199"/>
    </row>
    <row r="148" spans="2:14" ht="16" thickBot="1" x14ac:dyDescent="0.25">
      <c r="B148" s="197"/>
      <c r="C148" s="16"/>
      <c r="D148" s="33" t="s">
        <v>14</v>
      </c>
      <c r="E148" s="18">
        <f>SUM(E131:E147)</f>
        <v>5371597</v>
      </c>
      <c r="F148" s="17"/>
      <c r="H148" s="197"/>
      <c r="I148" s="16"/>
      <c r="J148" s="33" t="s">
        <v>34</v>
      </c>
      <c r="K148" s="19">
        <f>SUM(K131:K147)</f>
        <v>7744737.6399999997</v>
      </c>
      <c r="M148" s="200"/>
      <c r="N148" s="28">
        <f>+M131-'ESTADO DE RESULTADO'!K47</f>
        <v>0</v>
      </c>
    </row>
    <row r="149" spans="2:14" ht="16" thickBot="1" x14ac:dyDescent="0.25"/>
    <row r="150" spans="2:14" ht="16" thickBot="1" x14ac:dyDescent="0.25">
      <c r="B150" s="74" t="s">
        <v>32</v>
      </c>
      <c r="C150" s="10" t="s">
        <v>11</v>
      </c>
      <c r="D150" s="11" t="s">
        <v>15</v>
      </c>
      <c r="E150" s="11" t="s">
        <v>12</v>
      </c>
      <c r="F150" s="12" t="s">
        <v>13</v>
      </c>
      <c r="H150" s="75" t="s">
        <v>33</v>
      </c>
      <c r="I150" s="10" t="s">
        <v>11</v>
      </c>
      <c r="J150" s="11" t="s">
        <v>15</v>
      </c>
      <c r="K150" s="12" t="s">
        <v>48</v>
      </c>
      <c r="M150" s="34" t="s">
        <v>59</v>
      </c>
    </row>
    <row r="151" spans="2:14" x14ac:dyDescent="0.2">
      <c r="B151" s="195" t="s">
        <v>8</v>
      </c>
      <c r="C151" s="13">
        <v>45938</v>
      </c>
      <c r="D151" s="7" t="s">
        <v>322</v>
      </c>
      <c r="E151" s="31">
        <v>450000</v>
      </c>
      <c r="F151" s="14"/>
      <c r="H151" s="195" t="s">
        <v>8</v>
      </c>
      <c r="I151" s="13">
        <v>45934</v>
      </c>
      <c r="J151" s="7" t="s">
        <v>214</v>
      </c>
      <c r="K151" s="32">
        <v>85503</v>
      </c>
      <c r="M151" s="198">
        <f>+E162-K162</f>
        <v>-329829</v>
      </c>
    </row>
    <row r="152" spans="2:14" x14ac:dyDescent="0.2">
      <c r="B152" s="196"/>
      <c r="C152" s="13">
        <v>45940</v>
      </c>
      <c r="D152" s="7" t="s">
        <v>322</v>
      </c>
      <c r="E152" s="31">
        <v>450000</v>
      </c>
      <c r="F152" s="14"/>
      <c r="H152" s="196"/>
      <c r="I152" s="13">
        <v>45934</v>
      </c>
      <c r="J152" s="30" t="s">
        <v>318</v>
      </c>
      <c r="K152" s="32">
        <v>63000</v>
      </c>
      <c r="M152" s="199"/>
    </row>
    <row r="153" spans="2:14" x14ac:dyDescent="0.2">
      <c r="B153" s="196"/>
      <c r="C153" s="13">
        <v>45940</v>
      </c>
      <c r="D153" s="7" t="s">
        <v>326</v>
      </c>
      <c r="E153" s="31">
        <v>200000</v>
      </c>
      <c r="F153" s="14"/>
      <c r="H153" s="196"/>
      <c r="I153" s="29">
        <v>45934</v>
      </c>
      <c r="J153" s="114" t="s">
        <v>319</v>
      </c>
      <c r="K153" s="32">
        <v>20000</v>
      </c>
      <c r="M153" s="199"/>
    </row>
    <row r="154" spans="2:14" x14ac:dyDescent="0.2">
      <c r="B154" s="196"/>
      <c r="C154" s="13">
        <v>45944</v>
      </c>
      <c r="D154" s="7" t="s">
        <v>326</v>
      </c>
      <c r="E154" s="112">
        <v>-200000</v>
      </c>
      <c r="F154" s="14"/>
      <c r="H154" s="196"/>
      <c r="I154" s="29">
        <v>45940</v>
      </c>
      <c r="J154" s="30" t="s">
        <v>320</v>
      </c>
      <c r="K154" s="14">
        <v>210000</v>
      </c>
      <c r="M154" s="199"/>
    </row>
    <row r="155" spans="2:14" x14ac:dyDescent="0.2">
      <c r="B155" s="196"/>
      <c r="C155" s="13">
        <v>45945</v>
      </c>
      <c r="D155" s="7" t="s">
        <v>321</v>
      </c>
      <c r="E155" s="9">
        <v>475000</v>
      </c>
      <c r="F155" s="14"/>
      <c r="H155" s="196"/>
      <c r="I155" s="13">
        <v>45943</v>
      </c>
      <c r="J155" s="30" t="s">
        <v>193</v>
      </c>
      <c r="K155" s="14">
        <v>100000</v>
      </c>
      <c r="M155" s="199"/>
    </row>
    <row r="156" spans="2:14" x14ac:dyDescent="0.2">
      <c r="B156" s="196"/>
      <c r="C156" s="13">
        <v>45945</v>
      </c>
      <c r="D156" s="7" t="s">
        <v>327</v>
      </c>
      <c r="E156" s="9">
        <v>200000</v>
      </c>
      <c r="F156" s="14"/>
      <c r="H156" s="196"/>
      <c r="I156" s="13">
        <v>45945</v>
      </c>
      <c r="J156" s="7" t="s">
        <v>328</v>
      </c>
      <c r="K156" s="14">
        <v>180000</v>
      </c>
      <c r="M156" s="199"/>
    </row>
    <row r="157" spans="2:14" x14ac:dyDescent="0.2">
      <c r="B157" s="196"/>
      <c r="C157" s="13">
        <v>45951</v>
      </c>
      <c r="D157" s="7" t="s">
        <v>327</v>
      </c>
      <c r="E157" s="9">
        <v>-200000</v>
      </c>
      <c r="F157" s="14"/>
      <c r="H157" s="196"/>
      <c r="I157" s="13">
        <v>45945</v>
      </c>
      <c r="J157" s="114" t="s">
        <v>329</v>
      </c>
      <c r="K157" s="32">
        <v>711750</v>
      </c>
      <c r="M157" s="199"/>
    </row>
    <row r="158" spans="2:14" x14ac:dyDescent="0.2">
      <c r="B158" s="196"/>
      <c r="C158" s="29">
        <v>45955</v>
      </c>
      <c r="D158" s="7" t="s">
        <v>299</v>
      </c>
      <c r="E158" s="31">
        <v>900000</v>
      </c>
      <c r="F158" s="32"/>
      <c r="H158" s="196"/>
      <c r="I158" s="29">
        <v>45951</v>
      </c>
      <c r="J158" s="7" t="s">
        <v>2</v>
      </c>
      <c r="K158" s="14">
        <v>51500</v>
      </c>
      <c r="M158" s="199"/>
    </row>
    <row r="159" spans="2:14" x14ac:dyDescent="0.2">
      <c r="B159" s="196"/>
      <c r="C159" s="29"/>
      <c r="D159" s="114"/>
      <c r="E159" s="31"/>
      <c r="F159" s="32"/>
      <c r="H159" s="196"/>
      <c r="I159" s="29">
        <v>45964</v>
      </c>
      <c r="J159" s="114" t="s">
        <v>334</v>
      </c>
      <c r="K159" s="32">
        <v>711750</v>
      </c>
      <c r="M159" s="199"/>
    </row>
    <row r="160" spans="2:14" x14ac:dyDescent="0.2">
      <c r="B160" s="196"/>
      <c r="C160" s="29"/>
      <c r="D160" s="114"/>
      <c r="E160" s="31"/>
      <c r="F160" s="32"/>
      <c r="H160" s="196"/>
      <c r="I160" s="29">
        <v>45964</v>
      </c>
      <c r="J160" s="7" t="s">
        <v>335</v>
      </c>
      <c r="K160" s="122">
        <v>427050</v>
      </c>
      <c r="M160" s="199"/>
    </row>
    <row r="161" spans="2:14" x14ac:dyDescent="0.2">
      <c r="B161" s="196"/>
      <c r="C161" s="29"/>
      <c r="D161" s="114"/>
      <c r="E161" s="121"/>
      <c r="F161" s="32"/>
      <c r="H161" s="196"/>
      <c r="I161" s="29">
        <v>45961</v>
      </c>
      <c r="J161" s="7" t="s">
        <v>3</v>
      </c>
      <c r="K161" s="122">
        <v>44276</v>
      </c>
      <c r="M161" s="199"/>
    </row>
    <row r="162" spans="2:14" ht="16" thickBot="1" x14ac:dyDescent="0.25">
      <c r="B162" s="197"/>
      <c r="C162" s="16"/>
      <c r="D162" s="33" t="s">
        <v>14</v>
      </c>
      <c r="E162" s="18">
        <f>SUM(E151:E161)</f>
        <v>2275000</v>
      </c>
      <c r="F162" s="17"/>
      <c r="H162" s="197"/>
      <c r="I162" s="16"/>
      <c r="J162" s="33" t="s">
        <v>34</v>
      </c>
      <c r="K162" s="19">
        <f>SUM(K151:K161)</f>
        <v>2604829</v>
      </c>
      <c r="M162" s="200"/>
      <c r="N162" s="28">
        <f>+M151-'ESTADO DE RESULTADO'!L47</f>
        <v>0</v>
      </c>
    </row>
    <row r="163" spans="2:14" x14ac:dyDescent="0.2">
      <c r="D163" s="76"/>
      <c r="E163" s="77"/>
      <c r="F163" s="5"/>
      <c r="J163" s="76"/>
      <c r="K163" s="77"/>
      <c r="N163" s="28"/>
    </row>
    <row r="164" spans="2:14" x14ac:dyDescent="0.2">
      <c r="D164" s="76"/>
      <c r="E164" s="77"/>
      <c r="F164" s="5"/>
      <c r="J164" s="76"/>
      <c r="K164" s="77"/>
      <c r="N164" s="28"/>
    </row>
    <row r="165" spans="2:14" x14ac:dyDescent="0.2">
      <c r="D165" s="76"/>
      <c r="E165" s="77"/>
      <c r="F165" s="5"/>
      <c r="J165" s="76"/>
      <c r="K165" s="77"/>
      <c r="N165" s="28"/>
    </row>
    <row r="166" spans="2:14" ht="16" thickBot="1" x14ac:dyDescent="0.25"/>
    <row r="167" spans="2:14" ht="16" thickBot="1" x14ac:dyDescent="0.25">
      <c r="B167" s="74" t="s">
        <v>32</v>
      </c>
      <c r="C167" s="10" t="s">
        <v>11</v>
      </c>
      <c r="D167" s="11" t="s">
        <v>15</v>
      </c>
      <c r="E167" s="11" t="s">
        <v>12</v>
      </c>
      <c r="F167" s="12" t="s">
        <v>13</v>
      </c>
      <c r="H167" s="75" t="s">
        <v>33</v>
      </c>
      <c r="I167" s="10" t="s">
        <v>11</v>
      </c>
      <c r="J167" s="11" t="s">
        <v>15</v>
      </c>
      <c r="K167" s="12" t="s">
        <v>48</v>
      </c>
      <c r="M167" s="34" t="s">
        <v>59</v>
      </c>
    </row>
    <row r="168" spans="2:14" x14ac:dyDescent="0.2">
      <c r="B168" s="195" t="s">
        <v>9</v>
      </c>
      <c r="C168" s="13">
        <v>45964</v>
      </c>
      <c r="D168" s="7" t="s">
        <v>336</v>
      </c>
      <c r="E168" s="31">
        <v>1173165</v>
      </c>
      <c r="F168" s="14"/>
      <c r="H168" s="195" t="s">
        <v>9</v>
      </c>
      <c r="I168" s="13">
        <v>45964</v>
      </c>
      <c r="J168" s="114" t="s">
        <v>337</v>
      </c>
      <c r="K168" s="32">
        <v>121000</v>
      </c>
      <c r="M168" s="198">
        <f>+E183-K183</f>
        <v>-1797988.96</v>
      </c>
    </row>
    <row r="169" spans="2:14" x14ac:dyDescent="0.2">
      <c r="B169" s="196"/>
      <c r="C169" s="13">
        <v>45979</v>
      </c>
      <c r="D169" s="7" t="s">
        <v>346</v>
      </c>
      <c r="E169" s="31">
        <v>900000</v>
      </c>
      <c r="F169" s="14"/>
      <c r="H169" s="196"/>
      <c r="I169" s="13">
        <v>45965</v>
      </c>
      <c r="J169" s="114" t="s">
        <v>333</v>
      </c>
      <c r="K169" s="32">
        <f>+(E158+E145+E139)*0.2</f>
        <v>380000</v>
      </c>
      <c r="M169" s="199"/>
    </row>
    <row r="170" spans="2:14" x14ac:dyDescent="0.2">
      <c r="B170" s="196"/>
      <c r="C170" s="13">
        <v>45982</v>
      </c>
      <c r="D170" s="7" t="s">
        <v>351</v>
      </c>
      <c r="E170" s="31">
        <v>200000</v>
      </c>
      <c r="F170" s="14"/>
      <c r="H170" s="196"/>
      <c r="I170" s="29">
        <v>45973</v>
      </c>
      <c r="J170" s="114" t="s">
        <v>340</v>
      </c>
      <c r="K170" s="32">
        <v>163000</v>
      </c>
      <c r="M170" s="199"/>
    </row>
    <row r="171" spans="2:14" x14ac:dyDescent="0.2">
      <c r="B171" s="196"/>
      <c r="C171" s="131">
        <v>45985</v>
      </c>
      <c r="D171" s="7" t="s">
        <v>351</v>
      </c>
      <c r="E171" s="31">
        <v>-200000</v>
      </c>
      <c r="F171" s="14"/>
      <c r="H171" s="196"/>
      <c r="I171" s="29">
        <v>45975</v>
      </c>
      <c r="J171" s="7" t="s">
        <v>214</v>
      </c>
      <c r="K171" s="32">
        <v>81467</v>
      </c>
      <c r="M171" s="199"/>
    </row>
    <row r="172" spans="2:14" x14ac:dyDescent="0.2">
      <c r="B172" s="196"/>
      <c r="C172" s="13"/>
      <c r="D172" s="7"/>
      <c r="E172" s="31"/>
      <c r="F172" s="14"/>
      <c r="H172" s="196"/>
      <c r="I172" s="13">
        <v>45975</v>
      </c>
      <c r="J172" s="7" t="s">
        <v>60</v>
      </c>
      <c r="K172" s="32">
        <v>120000</v>
      </c>
      <c r="M172" s="199"/>
    </row>
    <row r="173" spans="2:14" x14ac:dyDescent="0.2">
      <c r="B173" s="196"/>
      <c r="C173" s="13"/>
      <c r="D173" s="7"/>
      <c r="E173" s="31"/>
      <c r="F173" s="14"/>
      <c r="H173" s="196"/>
      <c r="I173" s="13">
        <v>45975</v>
      </c>
      <c r="J173" s="7" t="s">
        <v>345</v>
      </c>
      <c r="K173" s="32">
        <v>30000</v>
      </c>
      <c r="M173" s="199"/>
    </row>
    <row r="174" spans="2:14" x14ac:dyDescent="0.2">
      <c r="B174" s="196"/>
      <c r="C174" s="13"/>
      <c r="D174" s="7"/>
      <c r="E174" s="31"/>
      <c r="F174" s="14"/>
      <c r="H174" s="196"/>
      <c r="I174" s="13">
        <v>45975</v>
      </c>
      <c r="J174" s="7" t="s">
        <v>338</v>
      </c>
      <c r="K174" s="32">
        <v>609505</v>
      </c>
      <c r="M174" s="199"/>
    </row>
    <row r="175" spans="2:14" x14ac:dyDescent="0.2">
      <c r="B175" s="196"/>
      <c r="C175" s="13"/>
      <c r="D175" s="7"/>
      <c r="E175" s="31"/>
      <c r="F175" s="14"/>
      <c r="H175" s="196"/>
      <c r="I175" s="13">
        <v>45976</v>
      </c>
      <c r="J175" s="7" t="s">
        <v>349</v>
      </c>
      <c r="K175" s="32">
        <v>711750</v>
      </c>
      <c r="M175" s="199"/>
    </row>
    <row r="176" spans="2:14" x14ac:dyDescent="0.2">
      <c r="B176" s="196"/>
      <c r="C176" s="13"/>
      <c r="D176" s="7"/>
      <c r="E176" s="31"/>
      <c r="F176" s="14"/>
      <c r="H176" s="196"/>
      <c r="I176" s="29">
        <v>45979</v>
      </c>
      <c r="J176" s="30" t="s">
        <v>347</v>
      </c>
      <c r="K176" s="32">
        <f>+E169*0.2</f>
        <v>180000</v>
      </c>
      <c r="M176" s="199"/>
      <c r="N176" s="5"/>
    </row>
    <row r="177" spans="2:14" x14ac:dyDescent="0.2">
      <c r="B177" s="196"/>
      <c r="C177" s="29"/>
      <c r="D177" s="7"/>
      <c r="E177" s="31"/>
      <c r="F177" s="32"/>
      <c r="H177" s="196"/>
      <c r="I177" s="29">
        <v>45987</v>
      </c>
      <c r="J177" s="30" t="s">
        <v>355</v>
      </c>
      <c r="K177" s="32">
        <v>95000</v>
      </c>
      <c r="M177" s="199"/>
    </row>
    <row r="178" spans="2:14" x14ac:dyDescent="0.2">
      <c r="B178" s="196"/>
      <c r="C178" s="29"/>
      <c r="D178" s="7"/>
      <c r="E178" s="31"/>
      <c r="F178" s="32"/>
      <c r="H178" s="196"/>
      <c r="I178" s="29">
        <v>45988</v>
      </c>
      <c r="J178" s="30" t="s">
        <v>356</v>
      </c>
      <c r="K178" s="32">
        <f>17000+5000+32000+14000</f>
        <v>68000</v>
      </c>
      <c r="M178" s="199"/>
    </row>
    <row r="179" spans="2:14" x14ac:dyDescent="0.2">
      <c r="B179" s="196"/>
      <c r="C179" s="29"/>
      <c r="D179" s="114"/>
      <c r="E179" s="31"/>
      <c r="F179" s="32"/>
      <c r="H179" s="196"/>
      <c r="I179" s="29">
        <v>45992</v>
      </c>
      <c r="J179" s="7" t="s">
        <v>364</v>
      </c>
      <c r="K179" s="14">
        <v>711750</v>
      </c>
      <c r="M179" s="199"/>
    </row>
    <row r="180" spans="2:14" x14ac:dyDescent="0.2">
      <c r="B180" s="196"/>
      <c r="C180" s="29"/>
      <c r="D180" s="114"/>
      <c r="E180" s="31"/>
      <c r="F180" s="32"/>
      <c r="H180" s="196"/>
      <c r="I180" s="29">
        <v>45992</v>
      </c>
      <c r="J180" s="114" t="s">
        <v>2</v>
      </c>
      <c r="K180" s="14">
        <v>51500</v>
      </c>
      <c r="M180" s="199"/>
    </row>
    <row r="181" spans="2:14" x14ac:dyDescent="0.2">
      <c r="B181" s="196"/>
      <c r="C181" s="29"/>
      <c r="D181" s="114"/>
      <c r="E181" s="31"/>
      <c r="F181" s="32"/>
      <c r="H181" s="196"/>
      <c r="I181" s="29">
        <v>45995</v>
      </c>
      <c r="J181" s="114" t="s">
        <v>341</v>
      </c>
      <c r="K181" s="32">
        <f>47450*10</f>
        <v>474500</v>
      </c>
      <c r="M181" s="199"/>
    </row>
    <row r="182" spans="2:14" x14ac:dyDescent="0.2">
      <c r="B182" s="196"/>
      <c r="C182" s="29"/>
      <c r="D182" s="114"/>
      <c r="E182" s="31"/>
      <c r="F182" s="32"/>
      <c r="H182" s="196"/>
      <c r="I182" s="29">
        <v>45991</v>
      </c>
      <c r="J182" s="7" t="s">
        <v>3</v>
      </c>
      <c r="K182" s="32">
        <v>73681.960000000006</v>
      </c>
      <c r="M182" s="199"/>
    </row>
    <row r="183" spans="2:14" ht="16" thickBot="1" x14ac:dyDescent="0.25">
      <c r="B183" s="197"/>
      <c r="C183" s="16"/>
      <c r="D183" s="33" t="s">
        <v>14</v>
      </c>
      <c r="E183" s="18">
        <f>SUM(E168:E182)</f>
        <v>2073165</v>
      </c>
      <c r="F183" s="17"/>
      <c r="H183" s="197"/>
      <c r="I183" s="16"/>
      <c r="J183" s="33" t="s">
        <v>34</v>
      </c>
      <c r="K183" s="19">
        <f>SUM(K168:K182)</f>
        <v>3871153.96</v>
      </c>
      <c r="M183" s="200"/>
      <c r="N183" s="28">
        <f>+M168-'ESTADO DE RESULTADO'!M47</f>
        <v>0</v>
      </c>
    </row>
    <row r="184" spans="2:14" ht="16" thickBot="1" x14ac:dyDescent="0.25"/>
    <row r="185" spans="2:14" ht="16" thickBot="1" x14ac:dyDescent="0.25">
      <c r="B185" s="74" t="s">
        <v>32</v>
      </c>
      <c r="C185" s="10" t="s">
        <v>11</v>
      </c>
      <c r="D185" s="11" t="s">
        <v>15</v>
      </c>
      <c r="E185" s="11" t="s">
        <v>12</v>
      </c>
      <c r="F185" s="12" t="s">
        <v>13</v>
      </c>
      <c r="H185" s="75" t="s">
        <v>33</v>
      </c>
      <c r="I185" s="10" t="s">
        <v>11</v>
      </c>
      <c r="J185" s="11" t="s">
        <v>15</v>
      </c>
      <c r="K185" s="12" t="s">
        <v>48</v>
      </c>
      <c r="M185" s="34" t="s">
        <v>59</v>
      </c>
    </row>
    <row r="186" spans="2:14" x14ac:dyDescent="0.2">
      <c r="B186" s="195" t="s">
        <v>10</v>
      </c>
      <c r="C186" s="13">
        <v>45992</v>
      </c>
      <c r="D186" s="7" t="s">
        <v>351</v>
      </c>
      <c r="E186" s="121">
        <v>912759</v>
      </c>
      <c r="F186" s="14"/>
      <c r="H186" s="195" t="s">
        <v>10</v>
      </c>
      <c r="I186" s="13">
        <v>46359</v>
      </c>
      <c r="J186" s="31" t="s">
        <v>360</v>
      </c>
      <c r="K186" s="14">
        <v>50000</v>
      </c>
      <c r="M186" s="198">
        <f>+E202-K202</f>
        <v>3399378.8899999997</v>
      </c>
    </row>
    <row r="187" spans="2:14" x14ac:dyDescent="0.2">
      <c r="B187" s="196"/>
      <c r="C187" s="13">
        <v>45995</v>
      </c>
      <c r="D187" s="114" t="s">
        <v>308</v>
      </c>
      <c r="E187" s="121">
        <v>950000</v>
      </c>
      <c r="F187" s="14"/>
      <c r="H187" s="196"/>
      <c r="I187" s="13">
        <v>45996</v>
      </c>
      <c r="J187" s="7" t="s">
        <v>344</v>
      </c>
      <c r="K187" s="32">
        <v>378220</v>
      </c>
      <c r="M187" s="199"/>
    </row>
    <row r="188" spans="2:14" x14ac:dyDescent="0.2">
      <c r="B188" s="196"/>
      <c r="C188" s="13">
        <v>45995</v>
      </c>
      <c r="D188" s="114" t="s">
        <v>361</v>
      </c>
      <c r="E188" s="121">
        <v>200000</v>
      </c>
      <c r="F188" s="14"/>
      <c r="H188" s="196"/>
      <c r="I188" s="29">
        <v>45996</v>
      </c>
      <c r="J188" s="7" t="s">
        <v>359</v>
      </c>
      <c r="K188" s="14">
        <v>210000</v>
      </c>
      <c r="M188" s="199"/>
    </row>
    <row r="189" spans="2:14" x14ac:dyDescent="0.2">
      <c r="B189" s="196"/>
      <c r="C189" s="13">
        <v>46001</v>
      </c>
      <c r="D189" s="114" t="s">
        <v>361</v>
      </c>
      <c r="E189" s="31">
        <v>-200000</v>
      </c>
      <c r="F189" s="14"/>
      <c r="H189" s="196"/>
      <c r="I189" s="29">
        <v>46000</v>
      </c>
      <c r="J189" s="114" t="s">
        <v>60</v>
      </c>
      <c r="K189" s="14">
        <v>150000</v>
      </c>
      <c r="M189" s="199"/>
    </row>
    <row r="190" spans="2:14" x14ac:dyDescent="0.2">
      <c r="B190" s="196"/>
      <c r="C190" s="13">
        <v>46006</v>
      </c>
      <c r="D190" s="114" t="s">
        <v>363</v>
      </c>
      <c r="E190" s="31">
        <v>906966</v>
      </c>
      <c r="F190" s="14"/>
      <c r="H190" s="196"/>
      <c r="I190" s="13">
        <v>46006</v>
      </c>
      <c r="J190" s="7" t="s">
        <v>365</v>
      </c>
      <c r="K190" s="14">
        <v>711750</v>
      </c>
      <c r="M190" s="199"/>
    </row>
    <row r="191" spans="2:14" x14ac:dyDescent="0.2">
      <c r="B191" s="196"/>
      <c r="C191" s="13">
        <v>46013</v>
      </c>
      <c r="D191" s="7" t="s">
        <v>352</v>
      </c>
      <c r="E191" s="31">
        <v>905807</v>
      </c>
      <c r="F191" s="14"/>
      <c r="H191" s="196"/>
      <c r="I191" s="13">
        <v>46013</v>
      </c>
      <c r="J191" s="114" t="s">
        <v>342</v>
      </c>
      <c r="K191" s="14">
        <v>711750</v>
      </c>
      <c r="M191" s="199"/>
    </row>
    <row r="192" spans="2:14" x14ac:dyDescent="0.2">
      <c r="B192" s="196"/>
      <c r="C192" s="13">
        <v>46015</v>
      </c>
      <c r="D192" s="7" t="s">
        <v>353</v>
      </c>
      <c r="E192" s="31">
        <v>1346286</v>
      </c>
      <c r="F192" s="14"/>
      <c r="H192" s="196"/>
      <c r="I192" s="13">
        <v>46013</v>
      </c>
      <c r="J192" s="114" t="s">
        <v>2</v>
      </c>
      <c r="K192" s="14">
        <v>51500</v>
      </c>
      <c r="M192" s="199"/>
    </row>
    <row r="193" spans="2:14" x14ac:dyDescent="0.2">
      <c r="B193" s="196"/>
      <c r="C193" s="29">
        <v>46021</v>
      </c>
      <c r="D193" s="7" t="s">
        <v>354</v>
      </c>
      <c r="E193" s="9">
        <v>3644155</v>
      </c>
      <c r="F193" s="32"/>
      <c r="H193" s="196"/>
      <c r="I193" s="29">
        <v>46015</v>
      </c>
      <c r="J193" s="114" t="s">
        <v>367</v>
      </c>
      <c r="K193" s="14">
        <v>80000</v>
      </c>
      <c r="M193" s="199"/>
    </row>
    <row r="194" spans="2:14" x14ac:dyDescent="0.2">
      <c r="B194" s="196"/>
      <c r="C194" s="29"/>
      <c r="D194" s="114"/>
      <c r="E194" s="31"/>
      <c r="F194" s="32"/>
      <c r="H194" s="196"/>
      <c r="I194" s="29">
        <v>46021</v>
      </c>
      <c r="J194" s="114" t="s">
        <v>369</v>
      </c>
      <c r="K194" s="14">
        <v>374600</v>
      </c>
      <c r="M194" s="199"/>
    </row>
    <row r="195" spans="2:14" x14ac:dyDescent="0.2">
      <c r="B195" s="196"/>
      <c r="C195" s="29"/>
      <c r="D195" s="114"/>
      <c r="E195" s="31"/>
      <c r="F195" s="32"/>
      <c r="H195" s="196"/>
      <c r="I195" s="29">
        <v>46021</v>
      </c>
      <c r="J195" s="114" t="s">
        <v>370</v>
      </c>
      <c r="K195" s="14">
        <v>245011</v>
      </c>
      <c r="M195" s="199"/>
    </row>
    <row r="196" spans="2:14" x14ac:dyDescent="0.2">
      <c r="B196" s="196"/>
      <c r="C196" s="29"/>
      <c r="D196" s="114"/>
      <c r="E196" s="31"/>
      <c r="F196" s="32"/>
      <c r="H196" s="196"/>
      <c r="I196" s="29">
        <v>46021</v>
      </c>
      <c r="J196" s="7" t="s">
        <v>362</v>
      </c>
      <c r="K196" s="32">
        <v>607800</v>
      </c>
      <c r="M196" s="199"/>
    </row>
    <row r="197" spans="2:14" x14ac:dyDescent="0.2">
      <c r="B197" s="196"/>
      <c r="C197" s="29"/>
      <c r="D197" s="114"/>
      <c r="E197" s="31"/>
      <c r="F197" s="32"/>
      <c r="H197" s="196"/>
      <c r="I197" s="29">
        <v>46021</v>
      </c>
      <c r="J197" s="7" t="s">
        <v>339</v>
      </c>
      <c r="K197" s="32">
        <v>711750</v>
      </c>
      <c r="M197" s="199"/>
    </row>
    <row r="198" spans="2:14" x14ac:dyDescent="0.2">
      <c r="B198" s="196"/>
      <c r="C198" s="29"/>
      <c r="D198" s="114"/>
      <c r="E198" s="31"/>
      <c r="F198" s="32"/>
      <c r="H198" s="196"/>
      <c r="I198" s="29">
        <v>46021</v>
      </c>
      <c r="J198" s="7" t="s">
        <v>368</v>
      </c>
      <c r="K198" s="32">
        <v>150000</v>
      </c>
      <c r="M198" s="199"/>
    </row>
    <row r="199" spans="2:14" x14ac:dyDescent="0.2">
      <c r="B199" s="196"/>
      <c r="C199" s="29"/>
      <c r="D199" s="7"/>
      <c r="E199" s="31"/>
      <c r="F199" s="32"/>
      <c r="H199" s="196"/>
      <c r="I199" s="29">
        <v>46021</v>
      </c>
      <c r="J199" s="114" t="s">
        <v>343</v>
      </c>
      <c r="K199" s="32">
        <v>250000</v>
      </c>
      <c r="M199" s="199"/>
    </row>
    <row r="200" spans="2:14" x14ac:dyDescent="0.2">
      <c r="B200" s="196"/>
      <c r="C200" s="29"/>
      <c r="D200" s="114"/>
      <c r="E200" s="121"/>
      <c r="F200" s="32"/>
      <c r="H200" s="196"/>
      <c r="I200" s="29">
        <v>46021</v>
      </c>
      <c r="J200" s="7" t="s">
        <v>341</v>
      </c>
      <c r="K200" s="32">
        <f>47450*11</f>
        <v>521950</v>
      </c>
      <c r="M200" s="199"/>
    </row>
    <row r="201" spans="2:14" ht="16" thickBot="1" x14ac:dyDescent="0.25">
      <c r="B201" s="197"/>
      <c r="C201" s="29"/>
      <c r="D201" s="135"/>
      <c r="E201" s="121"/>
      <c r="F201" s="32"/>
      <c r="H201" s="197"/>
      <c r="I201" s="29">
        <v>46022</v>
      </c>
      <c r="J201" s="30" t="s">
        <v>3</v>
      </c>
      <c r="K201" s="32">
        <v>62263.11</v>
      </c>
      <c r="M201" s="199"/>
    </row>
    <row r="202" spans="2:14" ht="16" thickBot="1" x14ac:dyDescent="0.25">
      <c r="C202" s="16"/>
      <c r="D202" s="33" t="s">
        <v>14</v>
      </c>
      <c r="E202" s="18">
        <f>SUM(E186:E201)</f>
        <v>8665973</v>
      </c>
      <c r="F202" s="17"/>
      <c r="I202" s="16"/>
      <c r="J202" s="33" t="s">
        <v>34</v>
      </c>
      <c r="K202" s="19">
        <f>SUM(K186:K201)</f>
        <v>5266594.1100000003</v>
      </c>
      <c r="M202" s="200"/>
      <c r="N202" s="28">
        <f>+M186-'ESTADO DE RESULTADO'!N47</f>
        <v>0</v>
      </c>
    </row>
    <row r="204" spans="2:14" x14ac:dyDescent="0.2">
      <c r="E204" s="5"/>
    </row>
    <row r="206" spans="2:14" x14ac:dyDescent="0.2">
      <c r="D206" s="5"/>
    </row>
    <row r="219" spans="5:11" x14ac:dyDescent="0.2">
      <c r="K219" s="5"/>
    </row>
    <row r="222" spans="5:11" x14ac:dyDescent="0.2">
      <c r="E222" s="5"/>
    </row>
  </sheetData>
  <mergeCells count="36">
    <mergeCell ref="M58:M69"/>
    <mergeCell ref="M42:M56"/>
    <mergeCell ref="B42:B56"/>
    <mergeCell ref="H42:H56"/>
    <mergeCell ref="B58:B69"/>
    <mergeCell ref="H58:H69"/>
    <mergeCell ref="H26:H39"/>
    <mergeCell ref="M26:M39"/>
    <mergeCell ref="M2:M10"/>
    <mergeCell ref="M13:M23"/>
    <mergeCell ref="B2:B10"/>
    <mergeCell ref="H2:H10"/>
    <mergeCell ref="B13:B23"/>
    <mergeCell ref="H13:H23"/>
    <mergeCell ref="B26:B39"/>
    <mergeCell ref="H186:H201"/>
    <mergeCell ref="B186:B201"/>
    <mergeCell ref="M186:M202"/>
    <mergeCell ref="M72:M89"/>
    <mergeCell ref="M114:M128"/>
    <mergeCell ref="M92:M112"/>
    <mergeCell ref="M168:M183"/>
    <mergeCell ref="M151:M162"/>
    <mergeCell ref="M131:M148"/>
    <mergeCell ref="B131:B148"/>
    <mergeCell ref="H131:H148"/>
    <mergeCell ref="B151:B162"/>
    <mergeCell ref="H151:H162"/>
    <mergeCell ref="B168:B183"/>
    <mergeCell ref="H168:H183"/>
    <mergeCell ref="B114:B128"/>
    <mergeCell ref="H114:H128"/>
    <mergeCell ref="B72:B89"/>
    <mergeCell ref="H72:H89"/>
    <mergeCell ref="B92:B112"/>
    <mergeCell ref="H92:H112"/>
  </mergeCells>
  <phoneticPr fontId="11" type="noConversion"/>
  <pageMargins left="0.75000000000000011" right="0.625" top="1" bottom="1" header="0.5" footer="0.5"/>
  <pageSetup scale="60" fitToHeight="5" orientation="landscape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B1:N64"/>
  <sheetViews>
    <sheetView view="pageLayout" topLeftCell="A34" workbookViewId="0">
      <selection activeCell="I48" sqref="I48"/>
    </sheetView>
  </sheetViews>
  <sheetFormatPr baseColWidth="10" defaultRowHeight="15" x14ac:dyDescent="0.2"/>
  <cols>
    <col min="1" max="1" width="2.83203125" customWidth="1"/>
    <col min="4" max="4" width="34.6640625" bestFit="1" customWidth="1"/>
    <col min="7" max="7" width="9.5" customWidth="1"/>
    <col min="10" max="10" width="36" bestFit="1" customWidth="1"/>
    <col min="12" max="12" width="11.1640625" customWidth="1"/>
    <col min="14" max="14" width="11" bestFit="1" customWidth="1"/>
  </cols>
  <sheetData>
    <row r="1" spans="2:14" ht="16" thickBot="1" x14ac:dyDescent="0.25">
      <c r="B1" s="74" t="s">
        <v>32</v>
      </c>
      <c r="C1" s="10" t="s">
        <v>11</v>
      </c>
      <c r="D1" s="11" t="s">
        <v>15</v>
      </c>
      <c r="E1" s="11" t="s">
        <v>12</v>
      </c>
      <c r="F1" s="12" t="s">
        <v>13</v>
      </c>
      <c r="H1" s="75" t="s">
        <v>33</v>
      </c>
      <c r="I1" s="10" t="s">
        <v>11</v>
      </c>
      <c r="J1" s="11" t="s">
        <v>15</v>
      </c>
      <c r="K1" s="12" t="s">
        <v>48</v>
      </c>
      <c r="M1" s="34" t="s">
        <v>59</v>
      </c>
    </row>
    <row r="2" spans="2:14" x14ac:dyDescent="0.2">
      <c r="B2" s="195" t="s">
        <v>7</v>
      </c>
      <c r="C2" s="13">
        <v>45545</v>
      </c>
      <c r="D2" s="8" t="s">
        <v>16</v>
      </c>
      <c r="E2" s="9">
        <v>2300000</v>
      </c>
      <c r="F2" s="14"/>
      <c r="H2" s="203" t="s">
        <v>7</v>
      </c>
      <c r="I2" s="13">
        <v>45545</v>
      </c>
      <c r="J2" s="8" t="s">
        <v>18</v>
      </c>
      <c r="K2" s="14">
        <v>1541700</v>
      </c>
      <c r="M2" s="198">
        <f>+E10-K10</f>
        <v>46723.569999999832</v>
      </c>
    </row>
    <row r="3" spans="2:14" x14ac:dyDescent="0.2">
      <c r="B3" s="196"/>
      <c r="C3" s="13">
        <v>45546</v>
      </c>
      <c r="D3" s="7" t="s">
        <v>37</v>
      </c>
      <c r="E3" s="9">
        <v>700000</v>
      </c>
      <c r="F3" s="14"/>
      <c r="H3" s="204"/>
      <c r="I3" s="13">
        <v>45546</v>
      </c>
      <c r="J3" s="7" t="s">
        <v>41</v>
      </c>
      <c r="K3" s="14">
        <f>51500*2</f>
        <v>103000</v>
      </c>
      <c r="M3" s="199"/>
    </row>
    <row r="4" spans="2:14" x14ac:dyDescent="0.2">
      <c r="B4" s="196"/>
      <c r="C4" s="13">
        <v>45546</v>
      </c>
      <c r="D4" s="7" t="s">
        <v>38</v>
      </c>
      <c r="E4" s="9">
        <v>200000</v>
      </c>
      <c r="F4" s="14"/>
      <c r="H4" s="204"/>
      <c r="I4" s="13">
        <v>45546</v>
      </c>
      <c r="J4" s="7" t="s">
        <v>40</v>
      </c>
      <c r="K4" s="14">
        <v>140000</v>
      </c>
      <c r="M4" s="199"/>
    </row>
    <row r="5" spans="2:14" x14ac:dyDescent="0.2">
      <c r="B5" s="196"/>
      <c r="C5" s="13">
        <v>45550</v>
      </c>
      <c r="D5" s="7" t="s">
        <v>38</v>
      </c>
      <c r="E5" s="9">
        <v>-200000</v>
      </c>
      <c r="F5" s="14"/>
      <c r="G5" s="5"/>
      <c r="H5" s="204"/>
      <c r="I5" s="13">
        <v>45549</v>
      </c>
      <c r="J5" s="7" t="s">
        <v>50</v>
      </c>
      <c r="K5" s="14">
        <v>700000</v>
      </c>
      <c r="M5" s="199"/>
    </row>
    <row r="6" spans="2:14" x14ac:dyDescent="0.2">
      <c r="B6" s="196"/>
      <c r="C6" s="13">
        <v>45555</v>
      </c>
      <c r="D6" s="7" t="s">
        <v>110</v>
      </c>
      <c r="E6" s="9">
        <v>450000</v>
      </c>
      <c r="F6" s="14"/>
      <c r="G6" s="5"/>
      <c r="H6" s="204"/>
      <c r="I6" s="13">
        <v>45555</v>
      </c>
      <c r="J6" s="7" t="s">
        <v>46</v>
      </c>
      <c r="K6" s="14">
        <v>51500</v>
      </c>
      <c r="M6" s="199"/>
    </row>
    <row r="7" spans="2:14" x14ac:dyDescent="0.2">
      <c r="B7" s="196"/>
      <c r="C7" s="13">
        <v>45555</v>
      </c>
      <c r="D7" s="7" t="s">
        <v>47</v>
      </c>
      <c r="E7" s="9">
        <v>200000</v>
      </c>
      <c r="F7" s="14"/>
      <c r="H7" s="204"/>
      <c r="I7" s="13">
        <v>45561</v>
      </c>
      <c r="J7" s="7" t="s">
        <v>35</v>
      </c>
      <c r="K7" s="14">
        <v>120000</v>
      </c>
      <c r="M7" s="199"/>
    </row>
    <row r="8" spans="2:14" x14ac:dyDescent="0.2">
      <c r="B8" s="196"/>
      <c r="C8" s="13">
        <v>45557</v>
      </c>
      <c r="D8" s="7" t="s">
        <v>47</v>
      </c>
      <c r="E8" s="9">
        <v>-200000</v>
      </c>
      <c r="F8" s="14"/>
      <c r="H8" s="204"/>
      <c r="I8" s="13">
        <v>45565</v>
      </c>
      <c r="J8" s="7" t="s">
        <v>49</v>
      </c>
      <c r="K8" s="14">
        <v>700000</v>
      </c>
      <c r="M8" s="199"/>
    </row>
    <row r="9" spans="2:14" ht="16" thickBot="1" x14ac:dyDescent="0.25">
      <c r="B9" s="197"/>
      <c r="C9" s="29"/>
      <c r="D9" s="30"/>
      <c r="E9" s="31"/>
      <c r="F9" s="32"/>
      <c r="H9" s="204"/>
      <c r="I9" s="29">
        <v>45565</v>
      </c>
      <c r="J9" s="30" t="s">
        <v>3</v>
      </c>
      <c r="K9" s="32">
        <v>47076.43</v>
      </c>
      <c r="M9" s="199"/>
    </row>
    <row r="10" spans="2:14" ht="16" thickBot="1" x14ac:dyDescent="0.25">
      <c r="C10" s="16"/>
      <c r="D10" s="33" t="s">
        <v>14</v>
      </c>
      <c r="E10" s="18">
        <f>SUM(E2:E9)</f>
        <v>3450000</v>
      </c>
      <c r="F10" s="17"/>
      <c r="I10" s="16"/>
      <c r="J10" s="33" t="s">
        <v>34</v>
      </c>
      <c r="K10" s="19">
        <f>SUM(K2:K9)</f>
        <v>3403276.43</v>
      </c>
      <c r="M10" s="200"/>
      <c r="N10" s="28">
        <f>+M2-'ESTADO DE RESULTADO'!K22</f>
        <v>0</v>
      </c>
    </row>
    <row r="11" spans="2:14" ht="16" thickBot="1" x14ac:dyDescent="0.25">
      <c r="E11" s="5"/>
      <c r="F11" s="5"/>
    </row>
    <row r="12" spans="2:14" ht="16" thickBot="1" x14ac:dyDescent="0.25">
      <c r="B12" s="74" t="s">
        <v>32</v>
      </c>
      <c r="C12" s="10" t="s">
        <v>11</v>
      </c>
      <c r="D12" s="11" t="s">
        <v>15</v>
      </c>
      <c r="E12" s="11" t="s">
        <v>12</v>
      </c>
      <c r="F12" s="12" t="s">
        <v>13</v>
      </c>
      <c r="H12" s="75" t="s">
        <v>33</v>
      </c>
      <c r="I12" s="10" t="s">
        <v>11</v>
      </c>
      <c r="J12" s="11" t="s">
        <v>15</v>
      </c>
      <c r="K12" s="12" t="s">
        <v>48</v>
      </c>
      <c r="M12" s="34" t="s">
        <v>59</v>
      </c>
    </row>
    <row r="13" spans="2:14" x14ac:dyDescent="0.2">
      <c r="B13" s="195" t="s">
        <v>8</v>
      </c>
      <c r="C13" s="13">
        <v>45569</v>
      </c>
      <c r="D13" s="8" t="s">
        <v>61</v>
      </c>
      <c r="E13" s="9">
        <v>450000</v>
      </c>
      <c r="F13" s="14"/>
      <c r="H13" s="195" t="s">
        <v>8</v>
      </c>
      <c r="I13" s="13">
        <v>45569</v>
      </c>
      <c r="J13" s="8" t="s">
        <v>52</v>
      </c>
      <c r="K13" s="14">
        <v>400000</v>
      </c>
      <c r="M13" s="198">
        <f>+E26-K26</f>
        <v>1023269.8799999999</v>
      </c>
    </row>
    <row r="14" spans="2:14" x14ac:dyDescent="0.2">
      <c r="B14" s="196"/>
      <c r="C14" s="13">
        <v>45569</v>
      </c>
      <c r="D14" s="8" t="s">
        <v>53</v>
      </c>
      <c r="E14" s="9">
        <v>2500000</v>
      </c>
      <c r="F14" s="14"/>
      <c r="H14" s="196"/>
      <c r="I14" s="13">
        <v>45569</v>
      </c>
      <c r="J14" s="8" t="s">
        <v>55</v>
      </c>
      <c r="K14" s="14">
        <v>960000</v>
      </c>
      <c r="M14" s="199"/>
    </row>
    <row r="15" spans="2:14" x14ac:dyDescent="0.2">
      <c r="B15" s="196"/>
      <c r="C15" s="13">
        <v>45569</v>
      </c>
      <c r="D15" s="8" t="s">
        <v>54</v>
      </c>
      <c r="E15" s="9">
        <v>200000</v>
      </c>
      <c r="F15" s="14"/>
      <c r="H15" s="196"/>
      <c r="I15" s="13">
        <v>45570</v>
      </c>
      <c r="J15" s="7" t="s">
        <v>56</v>
      </c>
      <c r="K15" s="14">
        <v>216702</v>
      </c>
      <c r="M15" s="199"/>
    </row>
    <row r="16" spans="2:14" x14ac:dyDescent="0.2">
      <c r="B16" s="196"/>
      <c r="C16" s="13">
        <v>45576</v>
      </c>
      <c r="D16" s="8" t="s">
        <v>54</v>
      </c>
      <c r="E16" s="9">
        <v>-200000</v>
      </c>
      <c r="F16" s="14"/>
      <c r="H16" s="196"/>
      <c r="I16" s="13">
        <v>45579</v>
      </c>
      <c r="J16" s="7" t="s">
        <v>60</v>
      </c>
      <c r="K16" s="14">
        <v>150000</v>
      </c>
      <c r="M16" s="199"/>
    </row>
    <row r="17" spans="2:14" x14ac:dyDescent="0.2">
      <c r="B17" s="196"/>
      <c r="C17" s="13">
        <v>45582</v>
      </c>
      <c r="D17" s="8" t="s">
        <v>63</v>
      </c>
      <c r="E17" s="9">
        <v>450000</v>
      </c>
      <c r="F17" s="14"/>
      <c r="H17" s="196"/>
      <c r="I17" s="13">
        <v>45582</v>
      </c>
      <c r="J17" s="7" t="s">
        <v>64</v>
      </c>
      <c r="K17" s="14">
        <v>700000</v>
      </c>
      <c r="M17" s="199"/>
      <c r="N17" s="5"/>
    </row>
    <row r="18" spans="2:14" x14ac:dyDescent="0.2">
      <c r="B18" s="196"/>
      <c r="C18" s="13">
        <v>45582</v>
      </c>
      <c r="D18" s="8" t="s">
        <v>62</v>
      </c>
      <c r="E18" s="9">
        <v>200000</v>
      </c>
      <c r="F18" s="14"/>
      <c r="H18" s="196"/>
      <c r="I18" s="13">
        <v>17</v>
      </c>
      <c r="J18" s="8" t="s">
        <v>65</v>
      </c>
      <c r="K18" s="14">
        <f>900000*0.2</f>
        <v>180000</v>
      </c>
      <c r="M18" s="199"/>
      <c r="N18" s="5"/>
    </row>
    <row r="19" spans="2:14" x14ac:dyDescent="0.2">
      <c r="B19" s="196"/>
      <c r="C19" s="13">
        <v>45589</v>
      </c>
      <c r="D19" s="7" t="s">
        <v>66</v>
      </c>
      <c r="E19" s="9">
        <v>850000</v>
      </c>
      <c r="F19" s="14"/>
      <c r="H19" s="196"/>
      <c r="I19" s="13">
        <v>45589</v>
      </c>
      <c r="J19" s="7" t="s">
        <v>68</v>
      </c>
      <c r="K19" s="14">
        <v>170000</v>
      </c>
      <c r="M19" s="199"/>
    </row>
    <row r="20" spans="2:14" x14ac:dyDescent="0.2">
      <c r="B20" s="196"/>
      <c r="C20" s="13">
        <v>45590</v>
      </c>
      <c r="D20" s="7" t="s">
        <v>71</v>
      </c>
      <c r="E20" s="9">
        <v>900000</v>
      </c>
      <c r="F20" s="14"/>
      <c r="H20" s="196"/>
      <c r="I20" s="13">
        <v>45589</v>
      </c>
      <c r="J20" s="7" t="s">
        <v>67</v>
      </c>
      <c r="K20" s="14">
        <v>51500</v>
      </c>
      <c r="M20" s="199"/>
    </row>
    <row r="21" spans="2:14" x14ac:dyDescent="0.2">
      <c r="B21" s="196"/>
      <c r="C21" s="13">
        <v>45590</v>
      </c>
      <c r="D21" s="8" t="s">
        <v>75</v>
      </c>
      <c r="E21" s="9">
        <v>-200000</v>
      </c>
      <c r="F21" s="14"/>
      <c r="H21" s="196"/>
      <c r="I21" s="13">
        <v>45589</v>
      </c>
      <c r="J21" s="7" t="s">
        <v>69</v>
      </c>
      <c r="K21" s="14">
        <v>600000</v>
      </c>
      <c r="M21" s="199"/>
    </row>
    <row r="22" spans="2:14" x14ac:dyDescent="0.2">
      <c r="B22" s="196"/>
      <c r="C22" s="13">
        <v>45591</v>
      </c>
      <c r="D22" s="7" t="s">
        <v>74</v>
      </c>
      <c r="E22" s="9">
        <v>1000000</v>
      </c>
      <c r="F22" s="14"/>
      <c r="H22" s="196"/>
      <c r="I22" s="13">
        <v>45591</v>
      </c>
      <c r="J22" s="7" t="s">
        <v>76</v>
      </c>
      <c r="K22" s="14">
        <v>560000</v>
      </c>
      <c r="M22" s="199"/>
    </row>
    <row r="23" spans="2:14" x14ac:dyDescent="0.2">
      <c r="B23" s="196"/>
      <c r="C23" s="13"/>
      <c r="D23" s="7"/>
      <c r="E23" s="9"/>
      <c r="F23" s="14"/>
      <c r="H23" s="196"/>
      <c r="I23" s="13">
        <v>45596</v>
      </c>
      <c r="J23" s="7" t="s">
        <v>81</v>
      </c>
      <c r="K23" s="14">
        <v>700000</v>
      </c>
      <c r="M23" s="199"/>
    </row>
    <row r="24" spans="2:14" x14ac:dyDescent="0.2">
      <c r="B24" s="196"/>
      <c r="C24" s="13"/>
      <c r="D24" s="7"/>
      <c r="E24" s="9"/>
      <c r="F24" s="14"/>
      <c r="H24" s="196"/>
      <c r="I24" s="13">
        <v>45596</v>
      </c>
      <c r="J24" s="7" t="s">
        <v>82</v>
      </c>
      <c r="K24" s="14">
        <v>400000</v>
      </c>
      <c r="L24" s="5"/>
      <c r="M24" s="199"/>
    </row>
    <row r="25" spans="2:14" ht="16" thickBot="1" x14ac:dyDescent="0.25">
      <c r="B25" s="197"/>
      <c r="C25" s="15"/>
      <c r="D25" s="7"/>
      <c r="E25" s="9"/>
      <c r="F25" s="14"/>
      <c r="H25" s="197"/>
      <c r="I25" s="13">
        <v>45596</v>
      </c>
      <c r="J25" s="30" t="s">
        <v>3</v>
      </c>
      <c r="K25" s="14">
        <v>38528.120000000003</v>
      </c>
      <c r="M25" s="199"/>
    </row>
    <row r="26" spans="2:14" ht="16" thickBot="1" x14ac:dyDescent="0.25">
      <c r="C26" s="16"/>
      <c r="D26" s="33" t="s">
        <v>14</v>
      </c>
      <c r="E26" s="18">
        <f>SUM(E13:E25)</f>
        <v>6150000</v>
      </c>
      <c r="F26" s="17"/>
      <c r="I26" s="16"/>
      <c r="J26" s="33" t="s">
        <v>34</v>
      </c>
      <c r="K26" s="19">
        <f>SUM(K13:K25)</f>
        <v>5126730.12</v>
      </c>
      <c r="M26" s="200"/>
      <c r="N26" s="28">
        <f>+M13-'ESTADO DE RESULTADO'!L22</f>
        <v>0</v>
      </c>
    </row>
    <row r="27" spans="2:14" ht="16" thickBot="1" x14ac:dyDescent="0.25">
      <c r="E27" s="5"/>
      <c r="F27" s="5"/>
    </row>
    <row r="28" spans="2:14" ht="16" thickBot="1" x14ac:dyDescent="0.25">
      <c r="B28" s="74" t="s">
        <v>32</v>
      </c>
      <c r="C28" s="10" t="s">
        <v>11</v>
      </c>
      <c r="D28" s="11" t="s">
        <v>15</v>
      </c>
      <c r="E28" s="11" t="s">
        <v>12</v>
      </c>
      <c r="F28" s="12" t="s">
        <v>13</v>
      </c>
      <c r="H28" s="75" t="s">
        <v>33</v>
      </c>
      <c r="I28" s="10" t="s">
        <v>11</v>
      </c>
      <c r="J28" s="11" t="s">
        <v>15</v>
      </c>
      <c r="K28" s="12" t="s">
        <v>48</v>
      </c>
      <c r="M28" s="34" t="s">
        <v>59</v>
      </c>
    </row>
    <row r="29" spans="2:14" x14ac:dyDescent="0.2">
      <c r="B29" s="195" t="s">
        <v>9</v>
      </c>
      <c r="C29" s="13">
        <v>45598</v>
      </c>
      <c r="D29" s="7" t="s">
        <v>74</v>
      </c>
      <c r="E29" s="9">
        <v>900000</v>
      </c>
      <c r="F29" s="14"/>
      <c r="H29" s="195" t="s">
        <v>9</v>
      </c>
      <c r="I29" s="13">
        <v>45600</v>
      </c>
      <c r="J29" s="7" t="s">
        <v>83</v>
      </c>
      <c r="K29" s="39">
        <v>400000</v>
      </c>
      <c r="M29" s="198">
        <f>+E41-K41</f>
        <v>20077.339999999851</v>
      </c>
    </row>
    <row r="30" spans="2:14" x14ac:dyDescent="0.2">
      <c r="B30" s="196"/>
      <c r="C30" s="13">
        <v>45598</v>
      </c>
      <c r="D30" s="7" t="s">
        <v>84</v>
      </c>
      <c r="E30" s="9">
        <v>200000</v>
      </c>
      <c r="F30" s="14"/>
      <c r="H30" s="196"/>
      <c r="I30" s="13">
        <v>45601</v>
      </c>
      <c r="J30" s="8" t="s">
        <v>42</v>
      </c>
      <c r="K30" s="39">
        <v>648810</v>
      </c>
      <c r="M30" s="199"/>
    </row>
    <row r="31" spans="2:14" x14ac:dyDescent="0.2">
      <c r="B31" s="196"/>
      <c r="C31" s="13">
        <v>45610</v>
      </c>
      <c r="D31" s="8" t="s">
        <v>87</v>
      </c>
      <c r="E31" s="9">
        <v>450000</v>
      </c>
      <c r="F31" s="14"/>
      <c r="H31" s="196"/>
      <c r="I31" s="13">
        <v>45611</v>
      </c>
      <c r="J31" s="7" t="s">
        <v>88</v>
      </c>
      <c r="K31" s="14">
        <v>700000</v>
      </c>
      <c r="M31" s="199"/>
    </row>
    <row r="32" spans="2:14" x14ac:dyDescent="0.2">
      <c r="B32" s="196"/>
      <c r="C32" s="13">
        <v>45613</v>
      </c>
      <c r="D32" s="8" t="s">
        <v>89</v>
      </c>
      <c r="E32" s="9">
        <v>700000</v>
      </c>
      <c r="F32" s="14"/>
      <c r="H32" s="196"/>
      <c r="I32" s="13">
        <v>45614</v>
      </c>
      <c r="J32" s="7" t="s">
        <v>18</v>
      </c>
      <c r="K32" s="14">
        <v>894240</v>
      </c>
      <c r="M32" s="199"/>
    </row>
    <row r="33" spans="2:14" x14ac:dyDescent="0.2">
      <c r="B33" s="196"/>
      <c r="C33" s="13">
        <v>45614</v>
      </c>
      <c r="D33" s="8" t="s">
        <v>89</v>
      </c>
      <c r="E33" s="9">
        <v>600000</v>
      </c>
      <c r="F33" s="14"/>
      <c r="H33" s="196"/>
      <c r="I33" s="13">
        <v>45616</v>
      </c>
      <c r="J33" s="7" t="s">
        <v>94</v>
      </c>
      <c r="K33" s="14">
        <v>200000</v>
      </c>
      <c r="M33" s="199"/>
    </row>
    <row r="34" spans="2:14" x14ac:dyDescent="0.2">
      <c r="B34" s="196"/>
      <c r="C34" s="13">
        <v>45618</v>
      </c>
      <c r="D34" s="8" t="s">
        <v>85</v>
      </c>
      <c r="E34" s="9">
        <v>776788</v>
      </c>
      <c r="F34" s="14"/>
      <c r="H34" s="196"/>
      <c r="I34" s="13">
        <v>45618</v>
      </c>
      <c r="J34" s="8" t="s">
        <v>96</v>
      </c>
      <c r="K34" s="14">
        <v>51500</v>
      </c>
      <c r="M34" s="199"/>
    </row>
    <row r="35" spans="2:14" x14ac:dyDescent="0.2">
      <c r="B35" s="196"/>
      <c r="C35" s="13">
        <v>45621</v>
      </c>
      <c r="D35" s="7" t="s">
        <v>97</v>
      </c>
      <c r="E35" s="9">
        <v>810810</v>
      </c>
      <c r="F35" s="14"/>
      <c r="H35" s="196"/>
      <c r="I35" s="13">
        <v>45623</v>
      </c>
      <c r="J35" s="42" t="s">
        <v>100</v>
      </c>
      <c r="K35" s="14">
        <v>330000</v>
      </c>
      <c r="M35" s="199"/>
    </row>
    <row r="36" spans="2:14" x14ac:dyDescent="0.2">
      <c r="B36" s="196"/>
      <c r="C36" s="13">
        <v>45621</v>
      </c>
      <c r="D36" s="7" t="s">
        <v>98</v>
      </c>
      <c r="E36" s="9">
        <v>475000</v>
      </c>
      <c r="F36" s="14"/>
      <c r="H36" s="196"/>
      <c r="I36" s="13">
        <v>45623</v>
      </c>
      <c r="J36" s="7" t="s">
        <v>103</v>
      </c>
      <c r="K36" s="14">
        <v>500000</v>
      </c>
      <c r="M36" s="199"/>
    </row>
    <row r="37" spans="2:14" x14ac:dyDescent="0.2">
      <c r="B37" s="196"/>
      <c r="C37" s="13"/>
      <c r="D37" s="7"/>
      <c r="E37" s="9"/>
      <c r="F37" s="14"/>
      <c r="H37" s="196"/>
      <c r="I37" s="13">
        <v>45623</v>
      </c>
      <c r="J37" s="7" t="s">
        <v>104</v>
      </c>
      <c r="K37" s="14">
        <v>20900</v>
      </c>
      <c r="M37" s="199"/>
    </row>
    <row r="38" spans="2:14" x14ac:dyDescent="0.2">
      <c r="B38" s="196"/>
      <c r="C38" s="13"/>
      <c r="D38" s="8"/>
      <c r="E38" s="9"/>
      <c r="F38" s="14"/>
      <c r="H38" s="196"/>
      <c r="I38" s="13">
        <v>45625</v>
      </c>
      <c r="J38" s="7" t="s">
        <v>107</v>
      </c>
      <c r="K38" s="14">
        <v>700000</v>
      </c>
      <c r="M38" s="199"/>
    </row>
    <row r="39" spans="2:14" x14ac:dyDescent="0.2">
      <c r="B39" s="196"/>
      <c r="C39" s="13"/>
      <c r="D39" s="7"/>
      <c r="E39" s="9"/>
      <c r="F39" s="14"/>
      <c r="H39" s="196"/>
      <c r="I39" s="13">
        <v>45625</v>
      </c>
      <c r="J39" s="7" t="s">
        <v>108</v>
      </c>
      <c r="K39" s="14">
        <v>400000</v>
      </c>
      <c r="L39" s="47"/>
      <c r="M39" s="199"/>
    </row>
    <row r="40" spans="2:14" ht="16" thickBot="1" x14ac:dyDescent="0.25">
      <c r="B40" s="197"/>
      <c r="C40" s="15"/>
      <c r="D40" s="7"/>
      <c r="E40" s="9"/>
      <c r="F40" s="14"/>
      <c r="H40" s="197"/>
      <c r="I40" s="13">
        <v>45626</v>
      </c>
      <c r="J40" s="30" t="s">
        <v>3</v>
      </c>
      <c r="K40" s="14">
        <v>47070.66</v>
      </c>
      <c r="M40" s="199"/>
    </row>
    <row r="41" spans="2:14" ht="16" thickBot="1" x14ac:dyDescent="0.25">
      <c r="C41" s="16"/>
      <c r="D41" s="33" t="s">
        <v>14</v>
      </c>
      <c r="E41" s="18">
        <f>SUM(E29:E40)</f>
        <v>4912598</v>
      </c>
      <c r="F41" s="17"/>
      <c r="I41" s="16"/>
      <c r="J41" s="33" t="s">
        <v>34</v>
      </c>
      <c r="K41" s="19">
        <f>SUM(K29:K40)</f>
        <v>4892520.66</v>
      </c>
      <c r="M41" s="200"/>
      <c r="N41" s="28">
        <f>+M29-'ESTADO DE RESULTADO'!M22</f>
        <v>0</v>
      </c>
    </row>
    <row r="42" spans="2:14" ht="16" thickBot="1" x14ac:dyDescent="0.25"/>
    <row r="43" spans="2:14" ht="16" thickBot="1" x14ac:dyDescent="0.25">
      <c r="B43" s="74" t="s">
        <v>32</v>
      </c>
      <c r="C43" s="10" t="s">
        <v>11</v>
      </c>
      <c r="D43" s="11" t="s">
        <v>15</v>
      </c>
      <c r="E43" s="11" t="s">
        <v>12</v>
      </c>
      <c r="F43" s="12" t="s">
        <v>13</v>
      </c>
      <c r="H43" s="75" t="s">
        <v>33</v>
      </c>
      <c r="I43" s="10" t="s">
        <v>11</v>
      </c>
      <c r="J43" s="11" t="s">
        <v>15</v>
      </c>
      <c r="K43" s="12" t="s">
        <v>48</v>
      </c>
      <c r="M43" s="34" t="s">
        <v>59</v>
      </c>
    </row>
    <row r="44" spans="2:14" x14ac:dyDescent="0.2">
      <c r="B44" s="195" t="s">
        <v>10</v>
      </c>
      <c r="C44" s="13">
        <v>45635</v>
      </c>
      <c r="D44" s="8" t="s">
        <v>111</v>
      </c>
      <c r="E44" s="9">
        <v>812212.67</v>
      </c>
      <c r="F44" s="14"/>
      <c r="H44" s="195" t="s">
        <v>10</v>
      </c>
      <c r="I44" s="13">
        <v>45630</v>
      </c>
      <c r="J44" s="7" t="s">
        <v>109</v>
      </c>
      <c r="K44" s="39">
        <v>450000</v>
      </c>
      <c r="M44" s="198">
        <f>+E55-K55</f>
        <v>-812968.45000000019</v>
      </c>
    </row>
    <row r="45" spans="2:14" x14ac:dyDescent="0.2">
      <c r="B45" s="196"/>
      <c r="C45" s="13">
        <v>45638</v>
      </c>
      <c r="D45" s="7" t="s">
        <v>112</v>
      </c>
      <c r="E45" s="9">
        <v>300000</v>
      </c>
      <c r="F45" s="14"/>
      <c r="H45" s="196"/>
      <c r="I45" s="13">
        <v>45631</v>
      </c>
      <c r="J45" s="7" t="s">
        <v>56</v>
      </c>
      <c r="K45" s="39">
        <v>316515</v>
      </c>
      <c r="M45" s="199"/>
    </row>
    <row r="46" spans="2:14" x14ac:dyDescent="0.2">
      <c r="B46" s="196"/>
      <c r="C46" s="13">
        <v>45642</v>
      </c>
      <c r="D46" s="7" t="s">
        <v>112</v>
      </c>
      <c r="E46" s="9">
        <v>-300000</v>
      </c>
      <c r="F46" s="14"/>
      <c r="H46" s="196"/>
      <c r="I46" s="13">
        <v>45639</v>
      </c>
      <c r="J46" s="7" t="s">
        <v>113</v>
      </c>
      <c r="K46" s="14">
        <v>700000</v>
      </c>
      <c r="M46" s="199"/>
    </row>
    <row r="47" spans="2:14" x14ac:dyDescent="0.2">
      <c r="B47" s="196"/>
      <c r="C47" s="13">
        <v>45649</v>
      </c>
      <c r="D47" s="7" t="s">
        <v>110</v>
      </c>
      <c r="E47" s="9">
        <v>300000</v>
      </c>
      <c r="F47" s="14"/>
      <c r="H47" s="202"/>
      <c r="I47" s="13">
        <v>45646</v>
      </c>
      <c r="J47" s="7" t="s">
        <v>117</v>
      </c>
      <c r="K47" s="14">
        <v>51500</v>
      </c>
      <c r="M47" s="199"/>
    </row>
    <row r="48" spans="2:14" x14ac:dyDescent="0.2">
      <c r="B48" s="196"/>
      <c r="C48" s="13">
        <v>45649</v>
      </c>
      <c r="D48" s="8" t="s">
        <v>120</v>
      </c>
      <c r="E48" s="9">
        <v>500000</v>
      </c>
      <c r="F48" s="14"/>
      <c r="H48" s="202"/>
      <c r="I48" s="13">
        <v>45650</v>
      </c>
      <c r="J48" s="7" t="s">
        <v>121</v>
      </c>
      <c r="K48" s="14">
        <v>350000</v>
      </c>
      <c r="M48" s="199"/>
    </row>
    <row r="49" spans="2:14" x14ac:dyDescent="0.2">
      <c r="B49" s="196"/>
      <c r="C49" s="13">
        <v>45650</v>
      </c>
      <c r="D49" s="7" t="s">
        <v>110</v>
      </c>
      <c r="E49" s="9">
        <v>320000</v>
      </c>
      <c r="F49" s="14"/>
      <c r="H49" s="202"/>
      <c r="I49" s="13">
        <v>45650</v>
      </c>
      <c r="J49" s="7" t="s">
        <v>100</v>
      </c>
      <c r="K49" s="14">
        <v>338000</v>
      </c>
      <c r="M49" s="199"/>
    </row>
    <row r="50" spans="2:14" x14ac:dyDescent="0.2">
      <c r="B50" s="196"/>
      <c r="C50" s="13">
        <v>45656</v>
      </c>
      <c r="D50" s="8" t="s">
        <v>123</v>
      </c>
      <c r="E50" s="9">
        <v>3237492</v>
      </c>
      <c r="F50" s="14"/>
      <c r="H50" s="202"/>
      <c r="I50" s="13">
        <v>45656</v>
      </c>
      <c r="J50" s="7" t="s">
        <v>124</v>
      </c>
      <c r="K50" s="14">
        <v>2968000</v>
      </c>
      <c r="M50" s="199"/>
    </row>
    <row r="51" spans="2:14" x14ac:dyDescent="0.2">
      <c r="B51" s="196"/>
      <c r="C51" s="13">
        <v>45656</v>
      </c>
      <c r="D51" s="7" t="s">
        <v>110</v>
      </c>
      <c r="E51" s="9">
        <v>800000</v>
      </c>
      <c r="F51" s="14"/>
      <c r="H51" s="196"/>
      <c r="I51" s="13">
        <v>45656</v>
      </c>
      <c r="J51" s="7" t="s">
        <v>125</v>
      </c>
      <c r="K51" s="14">
        <v>700000</v>
      </c>
      <c r="M51" s="199"/>
    </row>
    <row r="52" spans="2:14" x14ac:dyDescent="0.2">
      <c r="B52" s="196"/>
      <c r="C52" s="13">
        <v>45656</v>
      </c>
      <c r="D52" s="7" t="s">
        <v>110</v>
      </c>
      <c r="E52" s="9">
        <v>130000</v>
      </c>
      <c r="F52" s="14"/>
      <c r="H52" s="196"/>
      <c r="I52" s="13">
        <v>45656</v>
      </c>
      <c r="J52" s="7" t="s">
        <v>126</v>
      </c>
      <c r="K52" s="14">
        <v>400000</v>
      </c>
      <c r="M52" s="199"/>
    </row>
    <row r="53" spans="2:14" x14ac:dyDescent="0.2">
      <c r="B53" s="196"/>
      <c r="C53" s="13"/>
      <c r="D53" s="8"/>
      <c r="E53" s="9"/>
      <c r="F53" s="14"/>
      <c r="H53" s="196"/>
      <c r="I53" s="13">
        <v>45656</v>
      </c>
      <c r="J53" s="7" t="s">
        <v>122</v>
      </c>
      <c r="K53" s="14">
        <v>600000</v>
      </c>
      <c r="M53" s="199"/>
    </row>
    <row r="54" spans="2:14" ht="16" thickBot="1" x14ac:dyDescent="0.25">
      <c r="B54" s="197"/>
      <c r="C54" s="15"/>
      <c r="D54" s="7"/>
      <c r="E54" s="9"/>
      <c r="F54" s="14"/>
      <c r="H54" s="197"/>
      <c r="I54" s="13">
        <v>45657</v>
      </c>
      <c r="J54" s="30" t="s">
        <v>3</v>
      </c>
      <c r="K54" s="48">
        <v>38658.120000000003</v>
      </c>
      <c r="M54" s="199"/>
    </row>
    <row r="55" spans="2:14" ht="16" thickBot="1" x14ac:dyDescent="0.25">
      <c r="C55" s="16"/>
      <c r="D55" s="33" t="s">
        <v>14</v>
      </c>
      <c r="E55" s="18">
        <f>SUM(E44:E54)</f>
        <v>6099704.6699999999</v>
      </c>
      <c r="F55" s="17"/>
      <c r="I55" s="16"/>
      <c r="J55" s="33" t="s">
        <v>34</v>
      </c>
      <c r="K55" s="19">
        <f>SUM(K44:K54)</f>
        <v>6912673.1200000001</v>
      </c>
      <c r="M55" s="200"/>
      <c r="N55" s="28">
        <f>+M44-'ESTADO DE RESULTADO'!N22</f>
        <v>0</v>
      </c>
    </row>
    <row r="62" spans="2:14" x14ac:dyDescent="0.2">
      <c r="G62" s="5"/>
      <c r="I62" s="5"/>
    </row>
    <row r="64" spans="2:14" x14ac:dyDescent="0.2">
      <c r="G64" s="5"/>
    </row>
  </sheetData>
  <mergeCells count="12">
    <mergeCell ref="B44:B54"/>
    <mergeCell ref="H44:H54"/>
    <mergeCell ref="M44:M55"/>
    <mergeCell ref="M2:M10"/>
    <mergeCell ref="M13:M26"/>
    <mergeCell ref="M29:M41"/>
    <mergeCell ref="B13:B25"/>
    <mergeCell ref="H13:H25"/>
    <mergeCell ref="B29:B40"/>
    <mergeCell ref="H29:H40"/>
    <mergeCell ref="B2:B9"/>
    <mergeCell ref="H2:H9"/>
  </mergeCells>
  <phoneticPr fontId="11" type="noConversion"/>
  <pageMargins left="0.75000000000000011" right="0.75000000000000011" top="1" bottom="1" header="0.5" footer="0.5"/>
  <pageSetup scale="59" fitToHeight="5" orientation="landscape" horizontalDpi="4294967292" verticalDpi="4294967292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Cronograma</vt:lpstr>
      <vt:lpstr>ESTADO DE RESULTADO</vt:lpstr>
      <vt:lpstr>Ingresos_Egresos 2026</vt:lpstr>
      <vt:lpstr>Ingresos_Egresos 2025</vt:lpstr>
      <vt:lpstr>Ingresos _ Egresos 2024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Adriana Agudelo</cp:lastModifiedBy>
  <cp:lastPrinted>2025-01-05T04:09:14Z</cp:lastPrinted>
  <dcterms:created xsi:type="dcterms:W3CDTF">2024-02-25T17:26:10Z</dcterms:created>
  <dcterms:modified xsi:type="dcterms:W3CDTF">2026-02-20T18:00:41Z</dcterms:modified>
</cp:coreProperties>
</file>